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36" documentId="8_{B0F6B1CC-1C6B-44E6-968F-33E5DF2B6752}" xr6:coauthVersionLast="47" xr6:coauthVersionMax="47" xr10:uidLastSave="{4DB18BD6-9D2B-452D-8EC4-A00E93F8C78C}"/>
  <bookViews>
    <workbookView xWindow="-98" yWindow="-98" windowWidth="19396" windowHeight="11475" xr2:uid="{00000000-000D-0000-FFFF-FFFF00000000}"/>
  </bookViews>
  <sheets>
    <sheet name="Day1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3" l="1"/>
  <c r="S5" i="3"/>
  <c r="S6" i="3" s="1"/>
  <c r="S3" i="3"/>
  <c r="S4" i="3" s="1"/>
  <c r="O3" i="3"/>
  <c r="O4" i="3"/>
  <c r="O5" i="3"/>
  <c r="O6" i="3"/>
  <c r="O7" i="3"/>
  <c r="O8" i="3"/>
  <c r="O9" i="3"/>
  <c r="O10" i="3"/>
  <c r="O12" i="3"/>
  <c r="O13" i="3"/>
  <c r="O14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6" i="3"/>
  <c r="O47" i="3"/>
  <c r="O48" i="3"/>
  <c r="O49" i="3"/>
  <c r="O51" i="3"/>
  <c r="O52" i="3"/>
  <c r="O54" i="3"/>
  <c r="O55" i="3"/>
  <c r="O57" i="3"/>
  <c r="O58" i="3"/>
  <c r="O59" i="3"/>
  <c r="O60" i="3"/>
  <c r="O61" i="3"/>
  <c r="O62" i="3"/>
  <c r="O63" i="3"/>
  <c r="O64" i="3"/>
  <c r="O65" i="3"/>
  <c r="O66" i="3"/>
  <c r="O67" i="3"/>
  <c r="O68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90" i="3"/>
  <c r="O91" i="3"/>
  <c r="O92" i="3"/>
  <c r="O93" i="3"/>
  <c r="O94" i="3"/>
  <c r="O95" i="3"/>
  <c r="O96" i="3"/>
  <c r="O97" i="3"/>
  <c r="O98" i="3"/>
  <c r="O99" i="3"/>
  <c r="O101" i="3"/>
  <c r="O102" i="3"/>
  <c r="O103" i="3"/>
  <c r="O104" i="3"/>
  <c r="O105" i="3"/>
  <c r="O106" i="3"/>
  <c r="O107" i="3"/>
  <c r="O108" i="3"/>
  <c r="O109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8" i="3"/>
  <c r="O139" i="3"/>
  <c r="O140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2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" i="3"/>
  <c r="N17" i="3"/>
  <c r="N18" i="3"/>
  <c r="N19" i="3"/>
  <c r="N20" i="3"/>
  <c r="N21" i="3"/>
  <c r="N22" i="3"/>
  <c r="N23" i="3"/>
  <c r="N24" i="3"/>
  <c r="N25" i="3"/>
  <c r="N11" i="3"/>
  <c r="N12" i="3"/>
  <c r="N13" i="3"/>
  <c r="N14" i="3"/>
  <c r="N15" i="3"/>
  <c r="N6" i="3"/>
  <c r="N7" i="3"/>
  <c r="N8" i="3"/>
  <c r="N9" i="3"/>
  <c r="N10" i="3"/>
  <c r="N3" i="3"/>
  <c r="N4" i="3"/>
  <c r="N5" i="3"/>
  <c r="N2" i="3"/>
  <c r="S7" i="3" l="1"/>
  <c r="O137" i="3"/>
  <c r="O110" i="3"/>
  <c r="O141" i="3"/>
  <c r="O69" i="3"/>
  <c r="O53" i="3"/>
  <c r="O45" i="3"/>
  <c r="O11" i="3"/>
  <c r="O100" i="3"/>
  <c r="O50" i="3"/>
  <c r="O18" i="3"/>
  <c r="O89" i="3"/>
  <c r="O56" i="3"/>
  <c r="O1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EE840B-764C-422E-9FB8-783E626EADBB}" keepAlive="1" name="Query - Table4" description="Connection to the 'Table4' query in the workbook." type="5" refreshedVersion="0" background="1" saveData="1">
    <dbPr connection="Provider=Microsoft.Mashup.OleDb.1;Data Source=$Workbook$;Location=Table4;Extended Properties=&quot;&quot;" command="SELECT * FROM [Table4]"/>
  </connection>
  <connection id="2" xr16:uid="{D7B0EAC8-E143-482C-A66B-1A8911784A64}" keepAlive="1" name="Query - Table4 (2)" description="Connection to the 'Table4 (2)' query in the workbook." type="5" refreshedVersion="0" background="1">
    <dbPr connection="Provider=Microsoft.Mashup.OleDb.1;Data Source=$Workbook$;Location=&quot;Table4 (2)&quot;;Extended Properties=&quot;&quot;" command="SELECT * FROM [Table4 (2)]"/>
  </connection>
  <connection id="3" xr16:uid="{CEDBEBCD-A497-49A5-9437-108A701E6936}" keepAlive="1" name="Query - Table4 (3)" description="Connection to the 'Table4 (3)' query in the workbook." type="5" refreshedVersion="8" background="1" saveData="1">
    <dbPr connection="Provider=Microsoft.Mashup.OleDb.1;Data Source=$Workbook$;Location=&quot;Table4 (3)&quot;;Extended Properties=&quot;&quot;" command="SELECT * FROM [Table4 (3)]"/>
  </connection>
</connections>
</file>

<file path=xl/sharedStrings.xml><?xml version="1.0" encoding="utf-8"?>
<sst xmlns="http://schemas.openxmlformats.org/spreadsheetml/2006/main" count="1216" uniqueCount="491">
  <si>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</si>
  <si>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</si>
  <si>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</si>
  <si>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</si>
  <si>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</si>
  <si>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</si>
  <si>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</si>
  <si>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</si>
  <si>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</si>
  <si>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</si>
  <si>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</si>
  <si>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</si>
  <si>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</si>
  <si>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</si>
  <si>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</si>
  <si>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</si>
  <si>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</si>
  <si>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</si>
  <si>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</si>
  <si>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</si>
  <si>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</si>
  <si>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</si>
  <si>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</si>
  <si>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</si>
  <si>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</si>
  <si>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</si>
  <si>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</si>
  <si>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</si>
  <si>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</si>
  <si>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</si>
  <si>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</si>
  <si>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</si>
  <si>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</si>
  <si>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</si>
  <si>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</si>
  <si>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</si>
  <si>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</si>
  <si>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</si>
  <si>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</si>
  <si>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</si>
  <si>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</si>
  <si>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</si>
  <si>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</si>
  <si>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</si>
  <si>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</si>
  <si>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</si>
  <si>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</si>
  <si>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</si>
  <si>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</si>
  <si>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</si>
  <si>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</si>
  <si>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</si>
  <si>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</si>
  <si>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</si>
  <si>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</si>
  <si>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</si>
  <si>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</si>
  <si>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</si>
  <si>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</si>
  <si>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</si>
  <si>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</si>
  <si>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</si>
  <si>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</si>
  <si>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</si>
  <si>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</si>
  <si>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</si>
  <si>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</si>
  <si>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</si>
  <si>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</si>
  <si>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</si>
  <si>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</si>
  <si>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</si>
  <si>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</si>
  <si>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</si>
  <si>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</si>
  <si>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</si>
  <si>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</si>
  <si>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</si>
  <si>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</si>
  <si>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</si>
  <si>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</si>
  <si>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</si>
  <si>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</si>
  <si>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</si>
  <si>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</si>
  <si>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</si>
  <si>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</si>
  <si>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</si>
  <si>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</si>
  <si>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</si>
  <si>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</si>
  <si>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</si>
  <si>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</si>
  <si>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</si>
  <si>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</si>
  <si>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2/27/14 0:00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</si>
  <si>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</si>
  <si>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</si>
  <si>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</si>
  <si>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</si>
  <si>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</si>
  <si>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</si>
  <si>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</si>
  <si>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</si>
  <si>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</si>
  <si>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</si>
  <si>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</si>
  <si>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12/16/12 0:00</t>
  </si>
  <si>
    <t>12/19/12 0:00</t>
  </si>
  <si>
    <t>Phillip Breyer</t>
  </si>
  <si>
    <t>Taiwan</t>
  </si>
  <si>
    <t>ES-2012-EB1411048-40981</t>
  </si>
  <si>
    <t>3/16/12 0:00</t>
  </si>
  <si>
    <t>Eugene Barchas</t>
  </si>
  <si>
    <t>WESTERN EUROPE</t>
  </si>
  <si>
    <t>Office Supplies#</t>
  </si>
  <si>
    <t>CA-2012-AH10030140-41020</t>
  </si>
  <si>
    <t>4/21/12 0:00</t>
  </si>
  <si>
    <t>4/23/12 0:00</t>
  </si>
  <si>
    <t>Aaron Hawkins</t>
  </si>
  <si>
    <t>Eastern US</t>
  </si>
  <si>
    <t>IN-2013-BP1123058-41329</t>
  </si>
  <si>
    <t>2/24/13 0:00</t>
  </si>
  <si>
    <t>Benjamin Patterson</t>
  </si>
  <si>
    <t>India</t>
  </si>
  <si>
    <t>US-2012-RR1952536-41270</t>
  </si>
  <si>
    <t>12/27/12 0:00</t>
  </si>
  <si>
    <t>Rick Reed</t>
  </si>
  <si>
    <t>Dominican Republic</t>
  </si>
  <si>
    <t>Caribbean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</si>
  <si>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</si>
  <si>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</si>
  <si>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</si>
  <si>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</si>
  <si>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</si>
  <si>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</si>
  <si>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12/31/13 0:00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</si>
  <si>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</si>
  <si>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</si>
  <si>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</si>
  <si>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</si>
  <si>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</si>
  <si>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</si>
  <si>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9/13/12 0:00</t>
  </si>
  <si>
    <t>9/14/12 0:00</t>
  </si>
  <si>
    <t>Democratic Republic of the Congo</t>
  </si>
  <si>
    <t>Central Africa</t>
  </si>
  <si>
    <t>Technoolgy</t>
  </si>
  <si>
    <t>CA-2012-AH10030140-41041</t>
  </si>
  <si>
    <t>CA-2012-AH10030140-41273</t>
  </si>
  <si>
    <t>12/30/12 0:00</t>
  </si>
  <si>
    <t>12/31/12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</si>
  <si>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</si>
  <si>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</si>
  <si>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</si>
  <si>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</si>
  <si>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</si>
  <si>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</si>
  <si>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8/22/14 0:00</t>
  </si>
  <si>
    <t>8/26/14 0:00</t>
  </si>
  <si>
    <t>Joy Bell-</t>
  </si>
  <si>
    <t>Indonesia</t>
  </si>
  <si>
    <t>Southeastern Asia</t>
  </si>
  <si>
    <t>IN-2015-BF1100558-42319</t>
  </si>
  <si>
    <t>11/15/15 0:00</t>
  </si>
  <si>
    <t>Barry Franz</t>
  </si>
  <si>
    <t>IN-2015-VG2180558-42273</t>
  </si>
  <si>
    <t>9/26/15 0:00</t>
  </si>
  <si>
    <t>9/28/15 0:00</t>
  </si>
  <si>
    <t>Vivek Grady</t>
  </si>
  <si>
    <t>ES-2013-GT14710139-41621</t>
  </si>
  <si>
    <t>12/13/13 0:00</t>
  </si>
  <si>
    <t>12/17/13 0:00</t>
  </si>
  <si>
    <t>Greg Tran</t>
  </si>
  <si>
    <t>IT-2012-ZC2191048-41174</t>
  </si>
  <si>
    <t>9/22/12 0:00</t>
  </si>
  <si>
    <t>9/24/12 0:00</t>
  </si>
  <si>
    <t>Zuschuss Carroll</t>
  </si>
  <si>
    <t>Bookcases</t>
  </si>
  <si>
    <t>CA-2014-AH10030140-41719</t>
  </si>
  <si>
    <t>3/21/14 0:00</t>
  </si>
  <si>
    <t>3/26/14 0:00</t>
  </si>
  <si>
    <t>Southern US</t>
  </si>
  <si>
    <t>IT-2014-EB1384045-41706</t>
  </si>
  <si>
    <t>Elli sBallard</t>
  </si>
  <si>
    <t>IN-2015-AP1091527-42244</t>
  </si>
  <si>
    <t>8/28/15 0:00</t>
  </si>
  <si>
    <t>8/29/15 0:00</t>
  </si>
  <si>
    <t>Arthur Prichep</t>
  </si>
  <si>
    <t>IN-2015-SW2027558-42125</t>
  </si>
  <si>
    <t>Scott Williamson</t>
  </si>
  <si>
    <t>MX-2015-JH15820141-42356</t>
  </si>
  <si>
    <t>12/20/15 0:00</t>
  </si>
  <si>
    <t>John Huston</t>
  </si>
  <si>
    <t>Uruguay</t>
  </si>
  <si>
    <t>US-2012-AH10030140-41206</t>
  </si>
  <si>
    <t>10/24/12 0:00</t>
  </si>
  <si>
    <t>10/27/12 0:00</t>
  </si>
  <si>
    <t>Office_Supplies</t>
  </si>
  <si>
    <t>IR-2015-TG1164060-42265</t>
  </si>
  <si>
    <t>9/18/15 0:00</t>
  </si>
  <si>
    <t>9/21/15 0:00</t>
  </si>
  <si>
    <t>Trudy Glocke</t>
  </si>
  <si>
    <t>Iran</t>
  </si>
  <si>
    <t>SOUTHERN ASIA</t>
  </si>
  <si>
    <t>MZ-2014-DG330087-41991</t>
  </si>
  <si>
    <t>12/18/14 0:00</t>
  </si>
  <si>
    <t>Deirdre Greer</t>
  </si>
  <si>
    <t>Mozambique</t>
  </si>
  <si>
    <t>IN-2013-SG2047058-41424</t>
  </si>
  <si>
    <t>5/30/13 0:00</t>
  </si>
  <si>
    <t>5/31/13 0:00</t>
  </si>
  <si>
    <t>Sheri Gordon</t>
  </si>
  <si>
    <t>Eastern US#</t>
  </si>
  <si>
    <t>IN-2013-GP1474058-41419</t>
  </si>
  <si>
    <t>5/25/13 0:00</t>
  </si>
  <si>
    <t>5/28/13 0:00</t>
  </si>
  <si>
    <t>Guy Phonely</t>
  </si>
  <si>
    <t>IN-2015-MW182207-42221</t>
  </si>
  <si>
    <t>Mitch Webber</t>
  </si>
  <si>
    <t>5/18/12 0:00</t>
  </si>
  <si>
    <t>IN-2015-CS1246011-42074</t>
  </si>
  <si>
    <t>Chuck Sachs</t>
  </si>
  <si>
    <t>Bangladesh</t>
  </si>
  <si>
    <t>Furnitrue</t>
  </si>
  <si>
    <t>CA-2015-AH10030140-42357</t>
  </si>
  <si>
    <t>12/19/15 0:00</t>
  </si>
  <si>
    <t>12/23/15 0:00</t>
  </si>
  <si>
    <t>ES-2015-MS1798048-42227</t>
  </si>
  <si>
    <t>8/16/15 0:00</t>
  </si>
  <si>
    <t>Michael Stewart</t>
  </si>
  <si>
    <t>IT-2014-KC1667548-41882</t>
  </si>
  <si>
    <t>8/31/14 0:00</t>
  </si>
  <si>
    <t>Kimberly Carter</t>
  </si>
  <si>
    <t>IN-2015-DB1340527-42022</t>
  </si>
  <si>
    <t>1/23/15 0:00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</si>
  <si>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</si>
  <si>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</si>
  <si>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</si>
  <si>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</si>
  <si>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</si>
  <si>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</si>
  <si>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</si>
  <si>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</si>
  <si>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</si>
  <si>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11/20/15 0:00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</si>
  <si>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</si>
  <si>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</si>
  <si>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</si>
  <si>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</si>
  <si>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</si>
  <si>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</si>
  <si>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</si>
  <si>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</si>
  <si>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</si>
  <si>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11/21/12 0:00</t>
  </si>
  <si>
    <t>11/22/12 0:00</t>
  </si>
  <si>
    <t>Shui Tom</t>
  </si>
  <si>
    <t>Nicaragua</t>
  </si>
  <si>
    <t>CG-2014-BW106533-41727</t>
  </si>
  <si>
    <t>3/29/14 0:00</t>
  </si>
  <si>
    <t>3/31/14 0:00</t>
  </si>
  <si>
    <t>Barry Weirich</t>
  </si>
  <si>
    <t>IN-2015-LA1678059-42242</t>
  </si>
  <si>
    <t>8/26/15 0:00</t>
  </si>
  <si>
    <t>8/27/15 0:00</t>
  </si>
  <si>
    <t>Laura Armstrong</t>
  </si>
  <si>
    <t>ES-2013-AB10150139-41537</t>
  </si>
  <si>
    <t>9/20/13 0:00</t>
  </si>
  <si>
    <t>9/22/13 0:00</t>
  </si>
  <si>
    <t>Aimee Bixby</t>
  </si>
  <si>
    <t>IN-2015-JH158207-42140</t>
  </si>
  <si>
    <t>5/16/15 0:00</t>
  </si>
  <si>
    <t>5/18/15 0:00</t>
  </si>
  <si>
    <t>ES-2014-BE1141048-41967</t>
  </si>
  <si>
    <t>11/24/14 0:00</t>
  </si>
  <si>
    <t>11/25/14 0:00</t>
  </si>
  <si>
    <t>Bobby Elias</t>
  </si>
  <si>
    <t>Technology#</t>
  </si>
  <si>
    <t>IN-2012-SZ2003527-41221</t>
  </si>
  <si>
    <t>Sam Zeldin</t>
  </si>
  <si>
    <t>IN-2012-RM1937558-41209</t>
  </si>
  <si>
    <t>Raymond Messe</t>
  </si>
  <si>
    <t>11/19/15 0:00</t>
  </si>
  <si>
    <t>11/23/15 0:00</t>
  </si>
  <si>
    <t>Harry Greene</t>
  </si>
  <si>
    <t>MO-2015-DP310586-42305</t>
  </si>
  <si>
    <t>10/28/15 0:00</t>
  </si>
  <si>
    <t>10/30/15 0:00</t>
  </si>
  <si>
    <t>Morocco</t>
  </si>
  <si>
    <t>North Africa</t>
  </si>
  <si>
    <t>9/26/14 0:00</t>
  </si>
  <si>
    <t>9/28/14 0:00</t>
  </si>
  <si>
    <t>US-2015-AS10045140-42252</t>
  </si>
  <si>
    <t>1/29/14 0:00</t>
  </si>
  <si>
    <t>ID-2013-AM1070559-41535</t>
  </si>
  <si>
    <t>9/18/13 0:00</t>
  </si>
  <si>
    <t>9/21/13 0:00</t>
  </si>
  <si>
    <t>Anne McFarland</t>
  </si>
  <si>
    <t>MO-2014-AB25586-41966</t>
  </si>
  <si>
    <t>11/23/14 0:00</t>
  </si>
  <si>
    <t>Alejandro Ballentine</t>
  </si>
  <si>
    <t>6/13/13 0:00</t>
  </si>
  <si>
    <t>Rachel Payne</t>
  </si>
  <si>
    <t>IN-2014-BK1126011-41940</t>
  </si>
  <si>
    <t>10/28/14 0:00</t>
  </si>
  <si>
    <t>10/31/14 0:00</t>
  </si>
  <si>
    <t>Berenike Kampe</t>
  </si>
  <si>
    <t>12/14/14 0:00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</si>
  <si>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</si>
  <si>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</si>
  <si>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</si>
  <si>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</si>
  <si>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</si>
  <si>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</si>
  <si>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</si>
  <si>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</si>
  <si>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IN-2013-NC186257-41401</t>
  </si>
  <si>
    <t>Noah Childs</t>
  </si>
  <si>
    <t>Furniutre</t>
  </si>
  <si>
    <t>11/27/14 0:00</t>
  </si>
  <si>
    <t>11/29/14 0:00</t>
  </si>
  <si>
    <t>Natalie Fritzler</t>
  </si>
  <si>
    <t>Austria</t>
  </si>
  <si>
    <t>IN-2013-NZ185657-41606</t>
  </si>
  <si>
    <t>11/28/13 0:00</t>
  </si>
  <si>
    <t>IT-2013-PM1984045-41546</t>
  </si>
  <si>
    <t>9/29/13 0:00</t>
  </si>
  <si>
    <t>Paul MacIntyre</t>
  </si>
  <si>
    <t>ES-2014-MZ1733545-41885</t>
  </si>
  <si>
    <t>Maria Zettner</t>
  </si>
  <si>
    <t>CG-2014-HM498033-41846</t>
  </si>
  <si>
    <t>7/26/14 0:00</t>
  </si>
  <si>
    <t>Henry MacAllister</t>
  </si>
  <si>
    <t>IN-2015-RW195407-42327</t>
  </si>
  <si>
    <t>11/25/15 0:00</t>
  </si>
  <si>
    <t>Rick Wilson</t>
  </si>
  <si>
    <t>6/19/13 0:00</t>
  </si>
  <si>
    <t>Logan Haushalter</t>
  </si>
  <si>
    <t>MX-2013-FH1436582-41558</t>
  </si>
  <si>
    <t>10/14/13 0:00</t>
  </si>
  <si>
    <t>Fred Hopkins</t>
  </si>
  <si>
    <t>Khloe Miller</t>
  </si>
  <si>
    <t>Patrick O'Donnell</t>
  </si>
  <si>
    <t>US-2012-AS10045140-41116</t>
  </si>
  <si>
    <t>7/26/12 0:00</t>
  </si>
  <si>
    <t>MX-2014-AB1006028-41755</t>
  </si>
  <si>
    <t>4/26/14 0:00</t>
  </si>
  <si>
    <t>4/28/14 0:00</t>
  </si>
  <si>
    <t>Adam Bellavance</t>
  </si>
  <si>
    <t>Colombia</t>
  </si>
  <si>
    <t>IN-2014-DB130607-41999</t>
  </si>
  <si>
    <t>12/26/14 0:00</t>
  </si>
  <si>
    <t>Dave Brooks</t>
  </si>
  <si>
    <t>IT-2014-VM2168591-41711</t>
  </si>
  <si>
    <t>3/13/14 0:00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</si>
  <si>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</si>
  <si>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</si>
  <si>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</si>
  <si>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</si>
  <si>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</si>
  <si>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</si>
  <si>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</si>
  <si>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12/28/13 0:00</t>
  </si>
  <si>
    <t>Neoma Murray</t>
  </si>
  <si>
    <t>IN-2014-LC168857-41747</t>
  </si>
  <si>
    <t>4/18/14 0:00</t>
  </si>
  <si>
    <t>4/19/14 0:00</t>
  </si>
  <si>
    <t>Lena Creighton</t>
  </si>
  <si>
    <t>IN-2012-RO1978027-41052</t>
  </si>
  <si>
    <t>5/23/12 0:00</t>
  </si>
  <si>
    <t>5/25/12 0:00</t>
  </si>
  <si>
    <t>Rose O'Brian</t>
  </si>
  <si>
    <t>CA-2015-AS10045140-42218</t>
  </si>
  <si>
    <t>5/16/14 0:00</t>
  </si>
  <si>
    <t>5/20/14 0:00</t>
  </si>
  <si>
    <t>Erin Mull</t>
  </si>
  <si>
    <t>Western Europe#</t>
  </si>
  <si>
    <t>IT-2012-ON1871545-40955</t>
  </si>
  <si>
    <t>2/16/12 0:00</t>
  </si>
  <si>
    <t>Odella Nelson</t>
  </si>
  <si>
    <t>IN-2014-VS2182027-41790</t>
  </si>
  <si>
    <t>5/31/14 0:00</t>
  </si>
  <si>
    <t>Vivek Sundaresam</t>
  </si>
  <si>
    <t>Storage</t>
  </si>
  <si>
    <t>IN-2014-CM121157-41913</t>
  </si>
  <si>
    <t>Chad McGuire</t>
  </si>
  <si>
    <t>CA-2015-AB10060140-42315</t>
  </si>
  <si>
    <t>11/14/15 0:00</t>
  </si>
  <si>
    <t>CA-2014-AB10060140-41884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</si>
  <si>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</si>
  <si>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</si>
  <si>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</si>
  <si>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</si>
  <si>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</si>
  <si>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</si>
  <si>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malaysia</t>
  </si>
  <si>
    <t>US-2014-AB10060140-41712</t>
  </si>
  <si>
    <t>20140-3-14</t>
  </si>
  <si>
    <t>3/19/14 0:00</t>
  </si>
  <si>
    <t>Gary McGarr</t>
  </si>
  <si>
    <t>Ecuador</t>
  </si>
  <si>
    <t>IN-2014-SV2081558-41968</t>
  </si>
  <si>
    <t>Stuart Van</t>
  </si>
  <si>
    <t>Michael Moore</t>
  </si>
  <si>
    <t>IN-2015-JK1612059-42204</t>
  </si>
  <si>
    <t>7/19/15 0:00</t>
  </si>
  <si>
    <t>7/23/15 0:00</t>
  </si>
  <si>
    <t>Julie Kriz</t>
  </si>
  <si>
    <t>ID-2013-EM14200130-41502</t>
  </si>
  <si>
    <t>8/16/13 0:00</t>
  </si>
  <si>
    <t>Thailand</t>
  </si>
  <si>
    <t>IN-2013-PM1894059-41284</t>
  </si>
  <si>
    <t>1/14/13 0:00</t>
  </si>
  <si>
    <t>MX-2014-AT1043582-41667</t>
  </si>
  <si>
    <t>ID-2013-AB1001527-41439</t>
  </si>
  <si>
    <t>6/14/13 0:00</t>
  </si>
  <si>
    <t>6/17/13 0:00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</si>
  <si>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</si>
  <si>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</si>
  <si>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</si>
  <si>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</si>
  <si>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</si>
  <si>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</si>
  <si>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9/20/15 0:00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</si>
  <si>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</si>
  <si>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</si>
  <si>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</si>
  <si>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</si>
  <si>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</si>
  <si>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</si>
  <si>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</si>
  <si>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</si>
  <si>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10/25/13 0:00</t>
  </si>
  <si>
    <t>10/28/13 0:00</t>
  </si>
  <si>
    <t>Lisa Hazard</t>
  </si>
  <si>
    <t>CA-2015-AB10060140-42132</t>
  </si>
  <si>
    <t>5/13/15 0:00</t>
  </si>
  <si>
    <t>ID-2014-CR126257-41878</t>
  </si>
  <si>
    <t>8/27/14 0:00</t>
  </si>
  <si>
    <t>8/29/14 0:00</t>
  </si>
  <si>
    <t>Corey Roper</t>
  </si>
  <si>
    <t>5/16/12 0:00</t>
  </si>
  <si>
    <t>IT-2012-GM1468091-41215</t>
  </si>
  <si>
    <t>Greg Matthias</t>
  </si>
  <si>
    <t>ES-2015-RA1994545-42218</t>
  </si>
  <si>
    <t>ES-2012-DB1306048-41171</t>
  </si>
  <si>
    <t>9/19/12 0:00</t>
  </si>
  <si>
    <t>3/14/14 0:00</t>
  </si>
  <si>
    <t>IN-2014-RF197357-41709</t>
  </si>
  <si>
    <t>3/15/14 0:00</t>
  </si>
  <si>
    <t>Roland Fjeld</t>
  </si>
  <si>
    <t>MX-2015-DM1295551-42103</t>
  </si>
  <si>
    <t>4/13/15 0:00</t>
  </si>
  <si>
    <t>Dario Medina</t>
  </si>
  <si>
    <t>Guatemala</t>
  </si>
  <si>
    <t>CA-2014-AB10060140-41881</t>
  </si>
  <si>
    <t>8/30/14 0:00</t>
  </si>
  <si>
    <t>MX-2015-BE1133582-42082</t>
  </si>
  <si>
    <t>3/19/15 0:00</t>
  </si>
  <si>
    <t>3/21/15 0:00</t>
  </si>
  <si>
    <t>Bill Eplett</t>
  </si>
  <si>
    <t>IN-2014-SO2033527-41914</t>
  </si>
  <si>
    <t>Sean O'Donnell</t>
  </si>
  <si>
    <t>ES-2014-DK12835120-41651</t>
  </si>
  <si>
    <t>1/15/14 0:00</t>
  </si>
  <si>
    <t>SA-2015-LC7050110-42236</t>
  </si>
  <si>
    <t>8/20/15 0:00</t>
  </si>
  <si>
    <t>8/25/15 0:00</t>
  </si>
  <si>
    <t>Liz Carlisle</t>
  </si>
  <si>
    <t>IN-2015-CG125207-42077</t>
  </si>
  <si>
    <t>03/14/2015</t>
  </si>
  <si>
    <t>Claire Gute</t>
  </si>
  <si>
    <t>CA-2013-AB10060140-41535</t>
  </si>
  <si>
    <t>9/24/13 0:00</t>
  </si>
  <si>
    <t>7/13/15 0:00</t>
  </si>
  <si>
    <t>Aarom</t>
  </si>
  <si>
    <t>Western Euporen</t>
  </si>
  <si>
    <t>western Eupore</t>
  </si>
  <si>
    <t>ID-2015-HG1502559-42194</t>
  </si>
  <si>
    <t>ES-2013-JH1582048-41306</t>
  </si>
  <si>
    <t>MX-2015-GM1444037-42265</t>
  </si>
  <si>
    <t>10/18/14</t>
  </si>
  <si>
    <t>10/17/14</t>
  </si>
  <si>
    <t>Now</t>
  </si>
  <si>
    <t>Year</t>
  </si>
  <si>
    <t>today</t>
  </si>
  <si>
    <t>month</t>
  </si>
  <si>
    <t>day</t>
  </si>
  <si>
    <t>Datedif</t>
  </si>
  <si>
    <t>Day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</si>
</sst>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14009]d\ mmmm\ yyyy;@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4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5" tint="-0.249977111117893"/>
      <name val="Times New Roman"/>
      <family val="1"/>
    </font>
    <font>
      <sz val="11"/>
      <color rgb="FFFFFF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 wrapText="1"/>
    </xf>
    <xf numFmtId="0" fontId="3" fillId="2" borderId="5" xfId="1" applyFont="1" applyBorder="1" applyAlignment="1">
      <alignment horizontal="center" vertical="center" wrapText="1"/>
    </xf>
    <xf numFmtId="0" fontId="3" fillId="2" borderId="6" xfId="1" applyFont="1" applyBorder="1" applyAlignment="1">
      <alignment horizontal="center" vertical="center" wrapText="1"/>
    </xf>
    <xf numFmtId="0" fontId="4" fillId="2" borderId="1" xfId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0" xfId="0" applyNumberFormat="1"/>
    <xf numFmtId="164" fontId="3" fillId="2" borderId="5" xfId="1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0" fillId="0" borderId="0" xfId="0" applyNumberFormat="1"/>
    <xf numFmtId="165" fontId="2" fillId="0" borderId="1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22" fontId="6" fillId="4" borderId="1" xfId="0" applyNumberFormat="1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</cellXfs>
  <cellStyles count="2">
    <cellStyle name="Accent2" xfId="1" builtinId="33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[$-14009]yyyy/mm/dd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[$-14009]yyyy/mm/dd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M166" totalsRowShown="0" headerRowDxfId="19" dataDxfId="17" headerRowBorderDxfId="18" tableBorderDxfId="16" totalsRowBorderDxfId="15" headerRowCellStyle="Accent2">
  <autoFilter ref="A1:M166" xr:uid="{00000000-0009-0000-0100-000004000000}"/>
  <tableColumns count="13">
    <tableColumn id="1" xr3:uid="{00000000-0010-0000-0000-000001000000}" name="Order ID" dataDxfId="14"/>
    <tableColumn id="2" xr3:uid="{00000000-0010-0000-0000-000002000000}" name="Order Date" dataDxfId="13"/>
    <tableColumn id="3" xr3:uid="{00000000-0010-0000-0000-000003000000}" name="Ship Date" dataDxfId="12"/>
    <tableColumn id="4" xr3:uid="{00000000-0010-0000-0000-000004000000}" name="Customer Name" dataDxfId="11"/>
    <tableColumn id="5" xr3:uid="{00000000-0010-0000-0000-000005000000}" name="Country" dataDxfId="10"/>
    <tableColumn id="6" xr3:uid="{00000000-0010-0000-0000-000006000000}" name="Region" dataDxfId="9"/>
    <tableColumn id="7" xr3:uid="{00000000-0010-0000-0000-000007000000}" name="Category" dataDxfId="8"/>
    <tableColumn id="8" xr3:uid="{00000000-0010-0000-0000-000008000000}" name="Sub-Category" dataDxfId="7"/>
    <tableColumn id="9" xr3:uid="{00000000-0010-0000-0000-000009000000}" name="Sales" dataDxfId="6"/>
    <tableColumn id="10" xr3:uid="{00000000-0010-0000-0000-00000A000000}" name="Quantity" dataDxfId="5"/>
    <tableColumn id="11" xr3:uid="{00000000-0010-0000-0000-00000B000000}" name="Discount" dataDxfId="4"/>
    <tableColumn id="12" xr3:uid="{00000000-0010-0000-0000-00000C000000}" name="Profit" dataDxfId="3"/>
    <tableColumn id="13" xr3:uid="{00000000-0010-0000-0000-00000D000000}" name="Order Priority" dataDxfId="2">
      <calculatedColumnFormula>IF(L2&gt;1000,"High",IF(L2&gt;=500,"Medium",IF(L2&lt;=0,"Critical","Low")))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6"/>
  <sheetViews>
    <sheetView tabSelected="1" topLeftCell="I2" zoomScaleNormal="100" workbookViewId="0">
      <selection activeCell="R10" sqref="R10"/>
    </sheetView>
  </sheetViews>
  <sheetFormatPr defaultRowHeight="31.25" customHeight="1" x14ac:dyDescent="0.45"/>
  <cols>
    <col min="1" max="1" width="22.73046875" customWidth="1"/>
    <col min="2" max="2" width="17.53125" style="19" customWidth="1"/>
    <col min="3" max="3" width="16.06640625" style="19" bestFit="1" customWidth="1"/>
    <col min="4" max="4" width="16.06640625" customWidth="1"/>
    <col min="5" max="5" width="11.86328125" customWidth="1"/>
    <col min="6" max="6" width="13.59765625" customWidth="1"/>
    <col min="7" max="7" width="14.796875" customWidth="1"/>
    <col min="8" max="8" width="16.19921875" customWidth="1"/>
    <col min="9" max="9" width="10.86328125" bestFit="1" customWidth="1"/>
    <col min="10" max="10" width="12.06640625" customWidth="1"/>
    <col min="11" max="11" width="11.9296875" bestFit="1" customWidth="1"/>
    <col min="12" max="12" width="12.59765625" customWidth="1"/>
    <col min="13" max="13" width="14.6640625" customWidth="1"/>
    <col min="16" max="16" width="11.19921875" customWidth="1"/>
    <col min="17" max="17" width="9.9296875" bestFit="1" customWidth="1"/>
    <col min="19" max="19" width="16" bestFit="1" customWidth="1"/>
  </cols>
  <sheetData>
    <row r="1" spans="1:19" ht="31.25" customHeight="1" x14ac:dyDescent="0.45">
      <c r="A1" s="8" t="s">
        <v>0</v>
      </c>
      <c r="B1" s="16" t="s">
        <v>1</v>
      </c>
      <c r="C1" s="16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8</v>
      </c>
      <c r="O1" s="11" t="s">
        <v>11</v>
      </c>
    </row>
    <row r="2" spans="1:19" ht="31.25" customHeight="1" x14ac:dyDescent="0.45">
      <c r="A2" s="3" t="s">
        <v>13</v>
      </c>
      <c r="B2" s="20" t="s">
        <v>483</v>
      </c>
      <c r="C2" s="17" t="s">
        <v>482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5175.1710000000003</v>
      </c>
      <c r="J2" s="1">
        <v>9</v>
      </c>
      <c r="K2" s="1">
        <v>0.1</v>
      </c>
      <c r="L2" s="1">
        <v>919.971</v>
      </c>
      <c r="M2" s="4" t="str">
        <f t="shared" ref="M2:M33" si="0">IF(L2&gt;1000,"High",IF(L2&gt;=500,"Medium",IF(L2&lt;=0,"Critical","Low")))</f>
        <v>Medium</v>
      </c>
      <c r="N2" s="12">
        <f>IF(ISBLANK(I2),AVERAGEIF(Table4[Category],G2,Table4[Sales]),I2)</f>
        <v>5175.1710000000003</v>
      </c>
      <c r="O2" s="12">
        <f>IF(ISBLANK(L2),AVERAGEIF(Table4[Order Priority],M2,Table4[Profit]),L2)</f>
        <v>919.971</v>
      </c>
      <c r="R2" s="21"/>
      <c r="S2" s="21" t="s">
        <v>490</v>
      </c>
    </row>
    <row r="3" spans="1:19" ht="31.25" customHeight="1" x14ac:dyDescent="0.45">
      <c r="A3" s="3" t="s">
        <v>19</v>
      </c>
      <c r="B3" s="17" t="s">
        <v>20</v>
      </c>
      <c r="C3" s="17" t="s">
        <v>21</v>
      </c>
      <c r="D3" s="1" t="s">
        <v>22</v>
      </c>
      <c r="E3" s="1" t="s">
        <v>23</v>
      </c>
      <c r="F3" s="1" t="s">
        <v>478</v>
      </c>
      <c r="G3" s="1" t="s">
        <v>17</v>
      </c>
      <c r="H3" s="1" t="s">
        <v>24</v>
      </c>
      <c r="I3" s="1">
        <v>2892.51</v>
      </c>
      <c r="J3" s="1">
        <v>5</v>
      </c>
      <c r="K3" s="1">
        <v>0.1</v>
      </c>
      <c r="L3" s="1">
        <v>-96.54</v>
      </c>
      <c r="M3" s="4" t="str">
        <f t="shared" si="0"/>
        <v>Critical</v>
      </c>
      <c r="N3" s="13">
        <f>IF(ISBLANK(I3),AVERAGEIF(Table4[Category],G3,Table4[Sales]),I3)</f>
        <v>2892.51</v>
      </c>
      <c r="O3" s="13">
        <f>IF(ISBLANK(L3),AVERAGEIF(Table4[Order Priority],M3,Table4[Profit]),L3)</f>
        <v>-96.54</v>
      </c>
      <c r="R3" s="21" t="s">
        <v>484</v>
      </c>
      <c r="S3" s="22">
        <f ca="1">NOW()</f>
        <v>45975.559310416669</v>
      </c>
    </row>
    <row r="4" spans="1:19" ht="31.25" customHeight="1" x14ac:dyDescent="0.45">
      <c r="A4" s="3" t="s">
        <v>389</v>
      </c>
      <c r="B4" s="17">
        <v>41770</v>
      </c>
      <c r="C4" s="17">
        <v>41801</v>
      </c>
      <c r="D4" s="2" t="s">
        <v>25</v>
      </c>
      <c r="E4" s="1" t="s">
        <v>40</v>
      </c>
      <c r="F4" s="1" t="s">
        <v>26</v>
      </c>
      <c r="G4" s="1" t="s">
        <v>17</v>
      </c>
      <c r="H4" s="1" t="s">
        <v>27</v>
      </c>
      <c r="I4" s="1">
        <v>2832.96</v>
      </c>
      <c r="J4" s="1">
        <v>8</v>
      </c>
      <c r="K4" s="1">
        <v>0</v>
      </c>
      <c r="L4" s="1">
        <v>311.52</v>
      </c>
      <c r="M4" s="4" t="str">
        <f t="shared" si="0"/>
        <v>Low</v>
      </c>
      <c r="N4" s="12">
        <f>IF(ISBLANK(I4),AVERAGEIF(Table4[Category],G4,Table4[Sales]),I4)</f>
        <v>2832.96</v>
      </c>
      <c r="O4" s="12">
        <f>IF(ISBLANK(L4),AVERAGEIF(Table4[Order Priority],M4,Table4[Profit]),L4)</f>
        <v>311.52</v>
      </c>
      <c r="R4" s="21" t="s">
        <v>485</v>
      </c>
      <c r="S4" s="21">
        <f ca="1">YEAR(S3)</f>
        <v>2025</v>
      </c>
    </row>
    <row r="5" spans="1:19" ht="31.25" customHeight="1" x14ac:dyDescent="0.45">
      <c r="A5" s="3" t="s">
        <v>28</v>
      </c>
      <c r="B5" s="17" t="s">
        <v>29</v>
      </c>
      <c r="C5" s="17">
        <v>41646</v>
      </c>
      <c r="D5" s="1" t="s">
        <v>30</v>
      </c>
      <c r="E5" s="1" t="s">
        <v>15</v>
      </c>
      <c r="F5" s="1" t="s">
        <v>16</v>
      </c>
      <c r="G5" s="1" t="s">
        <v>17</v>
      </c>
      <c r="H5" s="1" t="s">
        <v>27</v>
      </c>
      <c r="I5" s="1">
        <v>2862.6750000000002</v>
      </c>
      <c r="J5" s="1">
        <v>5</v>
      </c>
      <c r="K5" s="1">
        <v>0.1</v>
      </c>
      <c r="L5" s="1">
        <v>763.27499999999998</v>
      </c>
      <c r="M5" s="4" t="str">
        <f t="shared" si="0"/>
        <v>Medium</v>
      </c>
      <c r="N5" s="12">
        <f>IF(ISBLANK(I5),AVERAGEIF(Table4[Category],G5,Table4[Sales]),I5)</f>
        <v>2862.6750000000002</v>
      </c>
      <c r="O5" s="12">
        <f>IF(ISBLANK(L5),AVERAGEIF(Table4[Order Priority],M5,Table4[Profit]),L5)</f>
        <v>763.27499999999998</v>
      </c>
      <c r="Q5" s="15"/>
      <c r="R5" s="21" t="s">
        <v>486</v>
      </c>
      <c r="S5" s="23">
        <f ca="1">TODAY()</f>
        <v>45975</v>
      </c>
    </row>
    <row r="6" spans="1:19" ht="31.25" customHeight="1" x14ac:dyDescent="0.45">
      <c r="A6" s="3" t="s">
        <v>389</v>
      </c>
      <c r="B6" s="17">
        <v>41071</v>
      </c>
      <c r="C6" s="17">
        <v>41132</v>
      </c>
      <c r="D6" s="1" t="s">
        <v>31</v>
      </c>
      <c r="E6" s="1" t="s">
        <v>32</v>
      </c>
      <c r="F6" s="1" t="s">
        <v>16</v>
      </c>
      <c r="G6" s="1" t="s">
        <v>33</v>
      </c>
      <c r="H6" s="1" t="s">
        <v>34</v>
      </c>
      <c r="I6" s="1">
        <v>1822.08</v>
      </c>
      <c r="J6" s="1">
        <v>4</v>
      </c>
      <c r="K6" s="1">
        <v>0</v>
      </c>
      <c r="L6" s="1">
        <v>564.84</v>
      </c>
      <c r="M6" s="4" t="str">
        <f t="shared" si="0"/>
        <v>Medium</v>
      </c>
      <c r="N6" s="13">
        <f>IF(ISBLANK(I6),AVERAGEIF(Table4[Category],G6,Table4[Sales]),I6)</f>
        <v>1822.08</v>
      </c>
      <c r="O6" s="13">
        <f>IF(ISBLANK(L6),AVERAGEIF(Table4[Order Priority],M6,Table4[Profit]),L6)</f>
        <v>564.84</v>
      </c>
      <c r="Q6" s="15"/>
      <c r="R6" s="21" t="s">
        <v>487</v>
      </c>
      <c r="S6" s="21">
        <f ca="1">MONTH(S5)</f>
        <v>11</v>
      </c>
    </row>
    <row r="7" spans="1:19" ht="31.25" customHeight="1" x14ac:dyDescent="0.45">
      <c r="A7" s="3" t="s">
        <v>35</v>
      </c>
      <c r="B7" s="17" t="s">
        <v>294</v>
      </c>
      <c r="C7" s="17" t="s">
        <v>226</v>
      </c>
      <c r="D7" s="1" t="s">
        <v>36</v>
      </c>
      <c r="E7" s="1" t="s">
        <v>32</v>
      </c>
      <c r="F7" s="1" t="s">
        <v>16</v>
      </c>
      <c r="G7" s="1" t="s">
        <v>33</v>
      </c>
      <c r="H7" s="1" t="s">
        <v>27</v>
      </c>
      <c r="I7" s="1">
        <v>5244.84</v>
      </c>
      <c r="J7" s="1">
        <v>6</v>
      </c>
      <c r="K7" s="1">
        <v>0</v>
      </c>
      <c r="L7" s="1">
        <v>996.48</v>
      </c>
      <c r="M7" s="4" t="str">
        <f t="shared" si="0"/>
        <v>Medium</v>
      </c>
      <c r="N7" s="12">
        <f>IF(ISBLANK(I7),AVERAGEIF(Table4[Category],G7,Table4[Sales]),I7)</f>
        <v>5244.84</v>
      </c>
      <c r="O7" s="12">
        <f>IF(ISBLANK(L7),AVERAGEIF(Table4[Order Priority],M7,Table4[Profit]),L7)</f>
        <v>996.48</v>
      </c>
      <c r="R7" s="21" t="s">
        <v>488</v>
      </c>
      <c r="S7" s="21">
        <f ca="1">WEEKDAY(S5,1)</f>
        <v>6</v>
      </c>
    </row>
    <row r="8" spans="1:19" ht="31.25" customHeight="1" x14ac:dyDescent="0.45">
      <c r="A8" s="3" t="s">
        <v>37</v>
      </c>
      <c r="B8" s="17">
        <v>41954</v>
      </c>
      <c r="C8" s="17" t="s">
        <v>38</v>
      </c>
      <c r="D8" s="1" t="s">
        <v>39</v>
      </c>
      <c r="E8" s="1" t="s">
        <v>40</v>
      </c>
      <c r="F8" s="1" t="s">
        <v>41</v>
      </c>
      <c r="G8" s="1" t="s">
        <v>33</v>
      </c>
      <c r="H8" s="1" t="s">
        <v>24</v>
      </c>
      <c r="I8" s="1">
        <v>341.96</v>
      </c>
      <c r="J8" s="1">
        <v>2</v>
      </c>
      <c r="K8" s="1">
        <v>0</v>
      </c>
      <c r="L8" s="1">
        <v>54.7136</v>
      </c>
      <c r="M8" s="4" t="str">
        <f t="shared" si="0"/>
        <v>Low</v>
      </c>
      <c r="N8" s="12">
        <f>IF(ISBLANK(I8),AVERAGEIF(Table4[Category],G8,Table4[Sales]),I8)</f>
        <v>341.96</v>
      </c>
      <c r="O8" s="12">
        <f>IF(ISBLANK(L8),AVERAGEIF(Table4[Order Priority],M8,Table4[Profit]),L8)</f>
        <v>54.7136</v>
      </c>
      <c r="R8" s="21" t="s">
        <v>489</v>
      </c>
      <c r="S8" s="21">
        <f>DATEDIF(B6,C6,"YD")</f>
        <v>61</v>
      </c>
    </row>
    <row r="9" spans="1:19" ht="31.25" customHeight="1" x14ac:dyDescent="0.45">
      <c r="A9" s="3" t="s">
        <v>42</v>
      </c>
      <c r="B9" s="17">
        <v>41063</v>
      </c>
      <c r="C9" s="17">
        <v>41093</v>
      </c>
      <c r="D9" s="1" t="s">
        <v>39</v>
      </c>
      <c r="E9" s="1" t="s">
        <v>40</v>
      </c>
      <c r="F9" s="1" t="s">
        <v>43</v>
      </c>
      <c r="G9" s="1" t="s">
        <v>33</v>
      </c>
      <c r="H9" s="1" t="s">
        <v>44</v>
      </c>
      <c r="I9" s="1">
        <v>48.712000000000003</v>
      </c>
      <c r="J9" s="1">
        <v>1</v>
      </c>
      <c r="K9" s="1">
        <v>0</v>
      </c>
      <c r="L9" s="1">
        <v>5.4801000000000002</v>
      </c>
      <c r="M9" s="4" t="str">
        <f t="shared" si="0"/>
        <v>Low</v>
      </c>
      <c r="N9" s="13">
        <f>IF(ISBLANK(I9),AVERAGEIF(Table4[Category],G9,Table4[Sales]),I9)</f>
        <v>48.712000000000003</v>
      </c>
      <c r="O9" s="13">
        <f>IF(ISBLANK(L9),AVERAGEIF(Table4[Order Priority],M9,Table4[Profit]),L9)</f>
        <v>5.4801000000000002</v>
      </c>
    </row>
    <row r="10" spans="1:19" ht="31.25" customHeight="1" x14ac:dyDescent="0.45">
      <c r="A10" s="3" t="s">
        <v>42</v>
      </c>
      <c r="B10" s="17">
        <v>41063</v>
      </c>
      <c r="C10" s="17">
        <v>41093</v>
      </c>
      <c r="D10" s="2" t="s">
        <v>39</v>
      </c>
      <c r="E10" s="1" t="s">
        <v>40</v>
      </c>
      <c r="F10" s="1" t="s">
        <v>43</v>
      </c>
      <c r="G10" s="1" t="s">
        <v>45</v>
      </c>
      <c r="H10" s="1" t="s">
        <v>46</v>
      </c>
      <c r="I10" s="1">
        <v>17.940000000000001</v>
      </c>
      <c r="J10" s="1">
        <v>3</v>
      </c>
      <c r="K10" s="1">
        <v>0</v>
      </c>
      <c r="L10" s="1">
        <v>26.647123529999998</v>
      </c>
      <c r="M10" s="4" t="str">
        <f t="shared" si="0"/>
        <v>Low</v>
      </c>
      <c r="N10" s="12">
        <f>IF(ISBLANK(I10),AVERAGEIF(Table4[Category],G10,Table4[Sales]),I10)</f>
        <v>17.940000000000001</v>
      </c>
      <c r="O10" s="12">
        <f>IF(ISBLANK(L10),AVERAGEIF(Table4[Order Priority],M10,Table4[Profit]),L10)</f>
        <v>26.647123529999998</v>
      </c>
      <c r="Q10" s="14"/>
    </row>
    <row r="11" spans="1:19" ht="31.25" customHeight="1" x14ac:dyDescent="0.45">
      <c r="A11" s="3" t="s">
        <v>47</v>
      </c>
      <c r="B11" s="17" t="s">
        <v>48</v>
      </c>
      <c r="C11" s="17">
        <v>41386</v>
      </c>
      <c r="D11" s="1" t="s">
        <v>49</v>
      </c>
      <c r="E11" s="1" t="s">
        <v>50</v>
      </c>
      <c r="F11" s="1" t="s">
        <v>51</v>
      </c>
      <c r="G11" s="1" t="s">
        <v>33</v>
      </c>
      <c r="H11" s="1" t="s">
        <v>44</v>
      </c>
      <c r="I11" s="1">
        <v>4626.1499999999996</v>
      </c>
      <c r="J11" s="1">
        <v>5</v>
      </c>
      <c r="K11" s="1">
        <v>0</v>
      </c>
      <c r="L11" s="1"/>
      <c r="M11" s="4" t="str">
        <f t="shared" si="0"/>
        <v>Critical</v>
      </c>
      <c r="N11" s="12">
        <f>IF(ISBLANK(I11),AVERAGEIF(Table4[Category],G11,Table4[Sales]),I11)</f>
        <v>4626.1499999999996</v>
      </c>
      <c r="O11" s="12">
        <f>IF(ISBLANK(L11),AVERAGEIF(Table4[Order Priority],M11,Table4[Profit]),L11)</f>
        <v>-390.4273300000001</v>
      </c>
    </row>
    <row r="12" spans="1:19" ht="31.25" customHeight="1" x14ac:dyDescent="0.45">
      <c r="A12" s="3" t="s">
        <v>52</v>
      </c>
      <c r="B12" s="17" t="s">
        <v>53</v>
      </c>
      <c r="C12" s="17" t="s">
        <v>144</v>
      </c>
      <c r="D12" s="1" t="s">
        <v>54</v>
      </c>
      <c r="E12" s="1" t="s">
        <v>55</v>
      </c>
      <c r="F12" s="1" t="s">
        <v>56</v>
      </c>
      <c r="G12" s="1" t="s">
        <v>17</v>
      </c>
      <c r="H12" s="1" t="s">
        <v>57</v>
      </c>
      <c r="I12" s="1">
        <v>2616.96</v>
      </c>
      <c r="J12" s="1">
        <v>4</v>
      </c>
      <c r="K12" s="1">
        <v>0</v>
      </c>
      <c r="L12" s="1">
        <v>1151.4000000000001</v>
      </c>
      <c r="M12" s="4" t="str">
        <f t="shared" si="0"/>
        <v>High</v>
      </c>
      <c r="N12" s="13">
        <f>IF(ISBLANK(I12),AVERAGEIF(Table4[Category],G12,Table4[Sales]),I12)</f>
        <v>2616.96</v>
      </c>
      <c r="O12" s="13">
        <f>IF(ISBLANK(L12),AVERAGEIF(Table4[Order Priority],M12,Table4[Profit]),L12)</f>
        <v>1151.4000000000001</v>
      </c>
    </row>
    <row r="13" spans="1:19" ht="31.25" customHeight="1" x14ac:dyDescent="0.45">
      <c r="A13" s="3" t="s">
        <v>58</v>
      </c>
      <c r="B13" s="17" t="s">
        <v>59</v>
      </c>
      <c r="C13" s="17" t="s">
        <v>59</v>
      </c>
      <c r="D13" s="1" t="s">
        <v>60</v>
      </c>
      <c r="E13" s="1" t="s">
        <v>61</v>
      </c>
      <c r="F13" s="1" t="s">
        <v>62</v>
      </c>
      <c r="G13" s="1" t="s">
        <v>33</v>
      </c>
      <c r="H13" s="1" t="s">
        <v>44</v>
      </c>
      <c r="I13" s="1">
        <v>2221.8000000000002</v>
      </c>
      <c r="J13" s="1">
        <v>5</v>
      </c>
      <c r="K13" s="1">
        <v>0</v>
      </c>
      <c r="L13" s="1">
        <v>622.02</v>
      </c>
      <c r="M13" s="4" t="str">
        <f t="shared" si="0"/>
        <v>Medium</v>
      </c>
      <c r="N13" s="12">
        <f>IF(ISBLANK(I13),AVERAGEIF(Table4[Category],G13,Table4[Sales]),I13)</f>
        <v>2221.8000000000002</v>
      </c>
      <c r="O13" s="12">
        <f>IF(ISBLANK(L13),AVERAGEIF(Table4[Order Priority],M13,Table4[Profit]),L13)</f>
        <v>622.02</v>
      </c>
    </row>
    <row r="14" spans="1:19" ht="31.25" customHeight="1" x14ac:dyDescent="0.45">
      <c r="A14" s="3" t="s">
        <v>63</v>
      </c>
      <c r="B14" s="17">
        <v>41796</v>
      </c>
      <c r="C14" s="17">
        <v>41857</v>
      </c>
      <c r="D14" s="1" t="s">
        <v>64</v>
      </c>
      <c r="E14" s="1" t="s">
        <v>65</v>
      </c>
      <c r="F14" s="1" t="s">
        <v>66</v>
      </c>
      <c r="G14" s="1" t="s">
        <v>45</v>
      </c>
      <c r="H14" s="1" t="s">
        <v>27</v>
      </c>
      <c r="I14" s="1">
        <v>3701.52</v>
      </c>
      <c r="J14" s="1">
        <v>12</v>
      </c>
      <c r="K14" s="1">
        <v>0</v>
      </c>
      <c r="L14" s="1">
        <v>1036.08</v>
      </c>
      <c r="M14" s="4" t="str">
        <f t="shared" si="0"/>
        <v>High</v>
      </c>
      <c r="N14" s="12">
        <f>IF(ISBLANK(I14),AVERAGEIF(Table4[Category],G14,Table4[Sales]),I14)</f>
        <v>3701.52</v>
      </c>
      <c r="O14" s="12">
        <f>IF(ISBLANK(L14),AVERAGEIF(Table4[Order Priority],M14,Table4[Profit]),L14)</f>
        <v>1036.08</v>
      </c>
    </row>
    <row r="15" spans="1:19" ht="31.25" customHeight="1" x14ac:dyDescent="0.45">
      <c r="A15" s="3" t="s">
        <v>67</v>
      </c>
      <c r="B15" s="17" t="s">
        <v>68</v>
      </c>
      <c r="C15" s="17">
        <v>42071</v>
      </c>
      <c r="D15" s="1" t="s">
        <v>69</v>
      </c>
      <c r="E15" s="1" t="s">
        <v>70</v>
      </c>
      <c r="F15" s="1" t="s">
        <v>71</v>
      </c>
      <c r="G15" s="1" t="s">
        <v>45</v>
      </c>
      <c r="H15" s="1" t="s">
        <v>24</v>
      </c>
      <c r="I15" s="1">
        <v>1869.588</v>
      </c>
      <c r="J15" s="1">
        <v>4</v>
      </c>
      <c r="K15" s="1">
        <v>0.1</v>
      </c>
      <c r="L15" s="1"/>
      <c r="M15" s="4" t="str">
        <f t="shared" si="0"/>
        <v>Critical</v>
      </c>
      <c r="N15" s="13">
        <f>IF(ISBLANK(I15),AVERAGEIF(Table4[Category],G15,Table4[Sales]),I15)</f>
        <v>1869.588</v>
      </c>
      <c r="O15" s="13">
        <f>IF(ISBLANK(L15),AVERAGEIF(Table4[Order Priority],M15,Table4[Profit]),L15)</f>
        <v>-390.4273300000001</v>
      </c>
    </row>
    <row r="16" spans="1:19" ht="31.25" customHeight="1" x14ac:dyDescent="0.45">
      <c r="A16" s="3" t="s">
        <v>72</v>
      </c>
      <c r="B16" s="17" t="s">
        <v>73</v>
      </c>
      <c r="C16" s="17" t="s">
        <v>74</v>
      </c>
      <c r="D16" s="1" t="s">
        <v>39</v>
      </c>
      <c r="E16" s="1" t="s">
        <v>40</v>
      </c>
      <c r="F16" s="1" t="s">
        <v>41</v>
      </c>
      <c r="G16" s="1" t="s">
        <v>45</v>
      </c>
      <c r="H16" s="1" t="s">
        <v>75</v>
      </c>
      <c r="I16" s="1">
        <v>12.624000000000001</v>
      </c>
      <c r="J16" s="1">
        <v>2</v>
      </c>
      <c r="K16" s="1">
        <v>0.2</v>
      </c>
      <c r="L16" s="1">
        <v>-2.5247999999999999</v>
      </c>
      <c r="M16" s="4" t="str">
        <f t="shared" si="0"/>
        <v>Critical</v>
      </c>
      <c r="N16" s="12">
        <f>IF(ISBLANK(I16),AVERAGEIF(Table4[Category],G16,Table4[Sales]),I16)</f>
        <v>12.624000000000001</v>
      </c>
      <c r="O16" s="12">
        <f>IF(ISBLANK(L16),AVERAGEIF(Table4[Order Priority],M16,Table4[Profit]),L16)</f>
        <v>-2.5247999999999999</v>
      </c>
    </row>
    <row r="17" spans="1:15" ht="31.25" customHeight="1" x14ac:dyDescent="0.45">
      <c r="A17" s="3" t="s">
        <v>76</v>
      </c>
      <c r="B17" s="17">
        <v>42225</v>
      </c>
      <c r="C17" s="17" t="s">
        <v>77</v>
      </c>
      <c r="D17" s="1" t="s">
        <v>476</v>
      </c>
      <c r="E17" s="1" t="s">
        <v>78</v>
      </c>
      <c r="F17" s="1" t="s">
        <v>79</v>
      </c>
      <c r="G17" s="1" t="s">
        <v>45</v>
      </c>
      <c r="H17" s="1" t="s">
        <v>75</v>
      </c>
      <c r="I17" s="1" t="s">
        <v>80</v>
      </c>
      <c r="J17" s="1">
        <v>14</v>
      </c>
      <c r="K17" s="1">
        <v>0</v>
      </c>
      <c r="L17" s="1">
        <v>3979.08</v>
      </c>
      <c r="M17" s="4" t="str">
        <f t="shared" si="0"/>
        <v>High</v>
      </c>
      <c r="N17" s="12" t="str">
        <f>IF(ISBLANK(I17),AVERAGEIF(Table4[Category],G17,Table4[Sales]),I17)</f>
        <v>7958.58#</v>
      </c>
      <c r="O17" s="12">
        <f>IF(ISBLANK(L17),AVERAGEIF(Table4[Order Priority],M17,Table4[Profit]),L17)</f>
        <v>3979.08</v>
      </c>
    </row>
    <row r="18" spans="1:15" ht="31.25" customHeight="1" x14ac:dyDescent="0.45">
      <c r="A18" s="3" t="s">
        <v>81</v>
      </c>
      <c r="B18" s="17" t="s">
        <v>82</v>
      </c>
      <c r="C18" s="17">
        <v>42006</v>
      </c>
      <c r="D18" s="1" t="s">
        <v>83</v>
      </c>
      <c r="E18" s="1" t="s">
        <v>15</v>
      </c>
      <c r="F18" s="1" t="s">
        <v>16</v>
      </c>
      <c r="G18" s="1" t="s">
        <v>17</v>
      </c>
      <c r="H18" s="1" t="s">
        <v>18</v>
      </c>
      <c r="I18" s="1">
        <v>2565.5940000000001</v>
      </c>
      <c r="J18" s="1">
        <v>9</v>
      </c>
      <c r="K18" s="1">
        <v>0</v>
      </c>
      <c r="L18" s="1"/>
      <c r="M18" s="4" t="str">
        <f t="shared" si="0"/>
        <v>Critical</v>
      </c>
      <c r="N18" s="13">
        <f>IF(ISBLANK(I18),AVERAGEIF(Table4[Category],G18,Table4[Sales]),I18)</f>
        <v>2565.5940000000001</v>
      </c>
      <c r="O18" s="13">
        <f>IF(ISBLANK(L18),AVERAGEIF(Table4[Order Priority],M18,Table4[Profit]),L18)</f>
        <v>-390.4273300000001</v>
      </c>
    </row>
    <row r="19" spans="1:15" ht="31.25" customHeight="1" x14ac:dyDescent="0.45">
      <c r="A19" s="3" t="s">
        <v>84</v>
      </c>
      <c r="B19" s="17">
        <v>42136</v>
      </c>
      <c r="C19" s="17">
        <v>42197</v>
      </c>
      <c r="D19" s="1" t="s">
        <v>85</v>
      </c>
      <c r="E19" s="1" t="s">
        <v>86</v>
      </c>
      <c r="F19" s="1" t="s">
        <v>87</v>
      </c>
      <c r="G19" s="1" t="s">
        <v>45</v>
      </c>
      <c r="H19" s="1" t="s">
        <v>75</v>
      </c>
      <c r="I19" s="1">
        <v>3409.74</v>
      </c>
      <c r="J19" s="1">
        <v>6</v>
      </c>
      <c r="K19" s="1">
        <v>0</v>
      </c>
      <c r="L19" s="1">
        <v>818.28</v>
      </c>
      <c r="M19" s="4" t="str">
        <f t="shared" si="0"/>
        <v>Medium</v>
      </c>
      <c r="N19" s="12">
        <f>IF(ISBLANK(I19),AVERAGEIF(Table4[Category],G19,Table4[Sales]),I19)</f>
        <v>3409.74</v>
      </c>
      <c r="O19" s="12">
        <f>IF(ISBLANK(L19),AVERAGEIF(Table4[Order Priority],M19,Table4[Profit]),L19)</f>
        <v>818.28</v>
      </c>
    </row>
    <row r="20" spans="1:15" ht="31.25" customHeight="1" x14ac:dyDescent="0.45">
      <c r="A20" s="3" t="s">
        <v>88</v>
      </c>
      <c r="B20" s="17">
        <v>41494</v>
      </c>
      <c r="C20" s="17">
        <v>41555</v>
      </c>
      <c r="D20" s="2" t="s">
        <v>89</v>
      </c>
      <c r="E20" s="1" t="s">
        <v>40</v>
      </c>
      <c r="F20" s="1" t="s">
        <v>90</v>
      </c>
      <c r="G20" s="1" t="s">
        <v>33</v>
      </c>
      <c r="H20" s="1" t="s">
        <v>34</v>
      </c>
      <c r="I20" s="1">
        <v>1977.72</v>
      </c>
      <c r="J20" s="1">
        <v>4</v>
      </c>
      <c r="K20" s="1">
        <v>0</v>
      </c>
      <c r="L20" s="1">
        <v>276.83999999999997</v>
      </c>
      <c r="M20" s="4" t="str">
        <f t="shared" si="0"/>
        <v>Low</v>
      </c>
      <c r="N20" s="12">
        <f>IF(ISBLANK(I20),AVERAGEIF(Table4[Category],G20,Table4[Sales]),I20)</f>
        <v>1977.72</v>
      </c>
      <c r="O20" s="12">
        <f>IF(ISBLANK(L20),AVERAGEIF(Table4[Order Priority],M20,Table4[Profit]),L20)</f>
        <v>276.83999999999997</v>
      </c>
    </row>
    <row r="21" spans="1:15" ht="31.25" customHeight="1" x14ac:dyDescent="0.45">
      <c r="A21" s="3" t="s">
        <v>42</v>
      </c>
      <c r="B21" s="17">
        <v>41063</v>
      </c>
      <c r="C21" s="17">
        <v>41093</v>
      </c>
      <c r="D21" s="1" t="s">
        <v>39</v>
      </c>
      <c r="E21" s="1" t="s">
        <v>40</v>
      </c>
      <c r="F21" s="1" t="s">
        <v>43</v>
      </c>
      <c r="G21" s="1" t="s">
        <v>45</v>
      </c>
      <c r="H21" s="1" t="s">
        <v>75</v>
      </c>
      <c r="I21" s="1">
        <v>242.94</v>
      </c>
      <c r="J21" s="1">
        <v>3</v>
      </c>
      <c r="K21" s="1">
        <v>0</v>
      </c>
      <c r="L21" s="1">
        <v>4.8587999999999996</v>
      </c>
      <c r="M21" s="4" t="str">
        <f t="shared" si="0"/>
        <v>Low</v>
      </c>
      <c r="N21" s="13">
        <f>IF(ISBLANK(I21),AVERAGEIF(Table4[Category],G21,Table4[Sales]),I21)</f>
        <v>242.94</v>
      </c>
      <c r="O21" s="13">
        <f>IF(ISBLANK(L21),AVERAGEIF(Table4[Order Priority],M21,Table4[Profit]),L21)</f>
        <v>4.8587999999999996</v>
      </c>
    </row>
    <row r="22" spans="1:15" ht="31.25" customHeight="1" x14ac:dyDescent="0.45">
      <c r="A22" s="3" t="s">
        <v>91</v>
      </c>
      <c r="B22" s="17">
        <v>40913</v>
      </c>
      <c r="C22" s="17">
        <v>40944</v>
      </c>
      <c r="D22" s="1" t="s">
        <v>92</v>
      </c>
      <c r="E22" s="1" t="s">
        <v>65</v>
      </c>
      <c r="F22" s="1" t="s">
        <v>93</v>
      </c>
      <c r="G22" s="1" t="s">
        <v>33</v>
      </c>
      <c r="H22" s="1" t="s">
        <v>44</v>
      </c>
      <c r="I22" s="1">
        <v>2754</v>
      </c>
      <c r="J22" s="1">
        <v>6</v>
      </c>
      <c r="K22" s="1">
        <v>0</v>
      </c>
      <c r="L22" s="1">
        <v>358.02</v>
      </c>
      <c r="M22" s="4" t="str">
        <f t="shared" si="0"/>
        <v>Low</v>
      </c>
      <c r="N22" s="12">
        <f>IF(ISBLANK(I22),AVERAGEIF(Table4[Category],G22,Table4[Sales]),I22)</f>
        <v>2754</v>
      </c>
      <c r="O22" s="12">
        <f>IF(ISBLANK(L22),AVERAGEIF(Table4[Order Priority],M22,Table4[Profit]),L22)</f>
        <v>358.02</v>
      </c>
    </row>
    <row r="23" spans="1:15" ht="31.25" customHeight="1" x14ac:dyDescent="0.45">
      <c r="A23" s="3" t="s">
        <v>94</v>
      </c>
      <c r="B23" s="17" t="s">
        <v>95</v>
      </c>
      <c r="C23" s="17">
        <v>41642</v>
      </c>
      <c r="D23" s="1" t="s">
        <v>96</v>
      </c>
      <c r="E23" s="1" t="s">
        <v>97</v>
      </c>
      <c r="F23" s="1" t="s">
        <v>98</v>
      </c>
      <c r="G23" s="1" t="s">
        <v>45</v>
      </c>
      <c r="H23" s="1" t="s">
        <v>27</v>
      </c>
      <c r="I23" s="1">
        <v>5273.7</v>
      </c>
      <c r="J23" s="1">
        <v>10</v>
      </c>
      <c r="K23" s="1">
        <v>0</v>
      </c>
      <c r="L23" s="1">
        <v>1898.4</v>
      </c>
      <c r="M23" s="4" t="str">
        <f t="shared" si="0"/>
        <v>High</v>
      </c>
      <c r="N23" s="12">
        <f>IF(ISBLANK(I23),AVERAGEIF(Table4[Category],G23,Table4[Sales]),I23)</f>
        <v>5273.7</v>
      </c>
      <c r="O23" s="12">
        <f>IF(ISBLANK(L23),AVERAGEIF(Table4[Order Priority],M23,Table4[Profit]),L23)</f>
        <v>1898.4</v>
      </c>
    </row>
    <row r="24" spans="1:15" ht="31.25" customHeight="1" x14ac:dyDescent="0.45">
      <c r="A24" s="3" t="s">
        <v>99</v>
      </c>
      <c r="B24" s="17" t="s">
        <v>68</v>
      </c>
      <c r="C24" s="17">
        <v>42012</v>
      </c>
      <c r="D24" s="1" t="s">
        <v>100</v>
      </c>
      <c r="E24" s="1" t="s">
        <v>101</v>
      </c>
      <c r="F24" s="1" t="s">
        <v>102</v>
      </c>
      <c r="G24" s="1" t="s">
        <v>17</v>
      </c>
      <c r="H24" s="1" t="s">
        <v>24</v>
      </c>
      <c r="I24" s="1">
        <v>1713.84</v>
      </c>
      <c r="J24" s="1">
        <v>4</v>
      </c>
      <c r="K24" s="1">
        <v>0</v>
      </c>
      <c r="L24" s="1">
        <v>445.52</v>
      </c>
      <c r="M24" s="4" t="str">
        <f t="shared" si="0"/>
        <v>Low</v>
      </c>
      <c r="N24" s="13">
        <f>IF(ISBLANK(I24),AVERAGEIF(Table4[Category],G24,Table4[Sales]),I24)</f>
        <v>1713.84</v>
      </c>
      <c r="O24" s="13">
        <f>IF(ISBLANK(L24),AVERAGEIF(Table4[Order Priority],M24,Table4[Profit]),L24)</f>
        <v>445.52</v>
      </c>
    </row>
    <row r="25" spans="1:15" ht="31.25" customHeight="1" x14ac:dyDescent="0.45">
      <c r="A25" s="3" t="s">
        <v>103</v>
      </c>
      <c r="B25" s="17">
        <v>42133</v>
      </c>
      <c r="C25" s="17">
        <v>42225</v>
      </c>
      <c r="D25" s="1" t="s">
        <v>104</v>
      </c>
      <c r="E25" s="1" t="s">
        <v>105</v>
      </c>
      <c r="F25" s="1" t="s">
        <v>102</v>
      </c>
      <c r="G25" s="1" t="s">
        <v>33</v>
      </c>
      <c r="H25" s="1" t="s">
        <v>75</v>
      </c>
      <c r="I25" s="1">
        <v>2106.4960000000001</v>
      </c>
      <c r="J25" s="1">
        <v>8</v>
      </c>
      <c r="K25" s="1">
        <v>0.2</v>
      </c>
      <c r="L25" s="1">
        <v>526.49599999999998</v>
      </c>
      <c r="M25" s="4" t="str">
        <f t="shared" si="0"/>
        <v>Medium</v>
      </c>
      <c r="N25" s="12">
        <f>IF(ISBLANK(I25),AVERAGEIF(Table4[Category],G25,Table4[Sales]),I25)</f>
        <v>2106.4960000000001</v>
      </c>
      <c r="O25" s="12">
        <f>IF(ISBLANK(L25),AVERAGEIF(Table4[Order Priority],M25,Table4[Profit]),L25)</f>
        <v>526.49599999999998</v>
      </c>
    </row>
    <row r="26" spans="1:15" ht="31.25" customHeight="1" x14ac:dyDescent="0.45">
      <c r="A26" s="3" t="s">
        <v>106</v>
      </c>
      <c r="B26" s="17" t="s">
        <v>107</v>
      </c>
      <c r="C26" s="17" t="s">
        <v>108</v>
      </c>
      <c r="D26" s="1" t="s">
        <v>109</v>
      </c>
      <c r="E26" s="1" t="s">
        <v>110</v>
      </c>
      <c r="F26" s="1" t="s">
        <v>93</v>
      </c>
      <c r="G26" s="1" t="s">
        <v>33</v>
      </c>
      <c r="H26" s="1" t="s">
        <v>27</v>
      </c>
      <c r="I26" s="1">
        <v>1715.16</v>
      </c>
      <c r="J26" s="1">
        <v>5</v>
      </c>
      <c r="K26" s="1">
        <v>0</v>
      </c>
      <c r="L26" s="1">
        <v>720.36</v>
      </c>
      <c r="M26" s="4" t="str">
        <f t="shared" si="0"/>
        <v>Medium</v>
      </c>
      <c r="N26" s="12">
        <f>IF(ISBLANK(I26),AVERAGEIF(Table4[Category],G26,Table4[Sales]),I26)</f>
        <v>1715.16</v>
      </c>
      <c r="O26" s="12">
        <f>IF(ISBLANK(L26),AVERAGEIF(Table4[Order Priority],M26,Table4[Profit]),L26)</f>
        <v>720.36</v>
      </c>
    </row>
    <row r="27" spans="1:15" ht="31.25" customHeight="1" x14ac:dyDescent="0.45">
      <c r="A27" s="7" t="s">
        <v>111</v>
      </c>
      <c r="B27" s="17" t="s">
        <v>294</v>
      </c>
      <c r="C27" s="17" t="s">
        <v>112</v>
      </c>
      <c r="D27" s="1" t="s">
        <v>113</v>
      </c>
      <c r="E27" s="1" t="s">
        <v>23</v>
      </c>
      <c r="F27" s="1" t="s">
        <v>114</v>
      </c>
      <c r="G27" s="1" t="s">
        <v>115</v>
      </c>
      <c r="H27" s="1" t="s">
        <v>44</v>
      </c>
      <c r="I27" s="1">
        <v>3069.7379999999998</v>
      </c>
      <c r="J27" s="1">
        <v>6</v>
      </c>
      <c r="K27" s="1">
        <v>0.1</v>
      </c>
      <c r="L27" s="1">
        <v>1364.2380000000001</v>
      </c>
      <c r="M27" s="4" t="str">
        <f t="shared" si="0"/>
        <v>High</v>
      </c>
      <c r="N27" s="13">
        <f>IF(ISBLANK(I27),AVERAGEIF(Table4[Category],G27,Table4[Sales]),I27)</f>
        <v>3069.7379999999998</v>
      </c>
      <c r="O27" s="13">
        <f>IF(ISBLANK(L27),AVERAGEIF(Table4[Order Priority],M27,Table4[Profit]),L27)</f>
        <v>1364.2380000000001</v>
      </c>
    </row>
    <row r="28" spans="1:15" ht="31.25" customHeight="1" x14ac:dyDescent="0.45">
      <c r="A28" s="3" t="s">
        <v>116</v>
      </c>
      <c r="B28" s="17" t="s">
        <v>117</v>
      </c>
      <c r="C28" s="17" t="s">
        <v>118</v>
      </c>
      <c r="D28" s="1" t="s">
        <v>119</v>
      </c>
      <c r="E28" s="1" t="s">
        <v>40</v>
      </c>
      <c r="F28" s="1" t="s">
        <v>120</v>
      </c>
      <c r="G28" s="1" t="s">
        <v>45</v>
      </c>
      <c r="H28" s="1" t="s">
        <v>44</v>
      </c>
      <c r="I28" s="1">
        <v>247.84</v>
      </c>
      <c r="J28" s="1">
        <v>8</v>
      </c>
      <c r="K28" s="1">
        <v>0</v>
      </c>
      <c r="L28" s="1">
        <v>121.44159999999999</v>
      </c>
      <c r="M28" s="4" t="str">
        <f t="shared" si="0"/>
        <v>Low</v>
      </c>
      <c r="N28" s="12">
        <f>IF(ISBLANK(I28),AVERAGEIF(Table4[Category],G28,Table4[Sales]),I28)</f>
        <v>247.84</v>
      </c>
      <c r="O28" s="12">
        <f>IF(ISBLANK(L28),AVERAGEIF(Table4[Order Priority],M28,Table4[Profit]),L28)</f>
        <v>121.44159999999999</v>
      </c>
    </row>
    <row r="29" spans="1:15" ht="31.25" customHeight="1" x14ac:dyDescent="0.45">
      <c r="A29" s="3" t="s">
        <v>121</v>
      </c>
      <c r="B29" s="17" t="s">
        <v>122</v>
      </c>
      <c r="C29" s="17" t="s">
        <v>122</v>
      </c>
      <c r="D29" s="1" t="s">
        <v>123</v>
      </c>
      <c r="E29" s="1" t="s">
        <v>124</v>
      </c>
      <c r="F29" s="1" t="s">
        <v>51</v>
      </c>
      <c r="G29" s="1" t="s">
        <v>33</v>
      </c>
      <c r="H29" s="1" t="s">
        <v>75</v>
      </c>
      <c r="I29" s="1">
        <v>1878.72</v>
      </c>
      <c r="J29" s="1">
        <v>4</v>
      </c>
      <c r="K29" s="1">
        <v>0</v>
      </c>
      <c r="L29" s="1">
        <v>582.36</v>
      </c>
      <c r="M29" s="4" t="str">
        <f t="shared" si="0"/>
        <v>Medium</v>
      </c>
      <c r="N29" s="12">
        <f>IF(ISBLANK(I29),AVERAGEIF(Table4[Category],G29,Table4[Sales]),I29)</f>
        <v>1878.72</v>
      </c>
      <c r="O29" s="12">
        <f>IF(ISBLANK(L29),AVERAGEIF(Table4[Order Priority],M29,Table4[Profit]),L29)</f>
        <v>582.36</v>
      </c>
    </row>
    <row r="30" spans="1:15" ht="31.25" customHeight="1" x14ac:dyDescent="0.45">
      <c r="A30" s="3" t="s">
        <v>125</v>
      </c>
      <c r="B30" s="17" t="s">
        <v>126</v>
      </c>
      <c r="C30" s="17">
        <v>41272</v>
      </c>
      <c r="D30" s="1" t="s">
        <v>127</v>
      </c>
      <c r="E30" s="1" t="s">
        <v>128</v>
      </c>
      <c r="F30" s="1" t="s">
        <v>129</v>
      </c>
      <c r="G30" s="1" t="s">
        <v>17</v>
      </c>
      <c r="H30" s="1" t="s">
        <v>27</v>
      </c>
      <c r="I30" s="1">
        <v>1696.64</v>
      </c>
      <c r="J30" s="1">
        <v>5</v>
      </c>
      <c r="K30" s="1">
        <v>0</v>
      </c>
      <c r="L30" s="1">
        <v>-148.46</v>
      </c>
      <c r="M30" s="4" t="str">
        <f t="shared" si="0"/>
        <v>Critical</v>
      </c>
      <c r="N30" s="13">
        <f>IF(ISBLANK(I30),AVERAGEIF(Table4[Category],G30,Table4[Sales]),I30)</f>
        <v>1696.64</v>
      </c>
      <c r="O30" s="13">
        <f>IF(ISBLANK(L30),AVERAGEIF(Table4[Order Priority],M30,Table4[Profit]),L30)</f>
        <v>-148.46</v>
      </c>
    </row>
    <row r="31" spans="1:15" ht="31.25" customHeight="1" x14ac:dyDescent="0.45">
      <c r="A31" s="3" t="s">
        <v>130</v>
      </c>
      <c r="B31" s="17" t="s">
        <v>131</v>
      </c>
      <c r="C31" s="17" t="s">
        <v>132</v>
      </c>
      <c r="D31" s="1" t="s">
        <v>133</v>
      </c>
      <c r="E31" s="1" t="s">
        <v>70</v>
      </c>
      <c r="F31" s="1" t="s">
        <v>71</v>
      </c>
      <c r="G31" s="1" t="s">
        <v>17</v>
      </c>
      <c r="H31" s="1" t="s">
        <v>24</v>
      </c>
      <c r="I31" s="1">
        <v>2402.8649999999998</v>
      </c>
      <c r="J31" s="1">
        <v>9</v>
      </c>
      <c r="K31" s="1">
        <v>0.15</v>
      </c>
      <c r="L31" s="1">
        <v>763.15499999999997</v>
      </c>
      <c r="M31" s="4" t="str">
        <f t="shared" si="0"/>
        <v>Medium</v>
      </c>
      <c r="N31" s="12">
        <f>IF(ISBLANK(I31),AVERAGEIF(Table4[Category],G31,Table4[Sales]),I31)</f>
        <v>2402.8649999999998</v>
      </c>
      <c r="O31" s="12">
        <f>IF(ISBLANK(L31),AVERAGEIF(Table4[Order Priority],M31,Table4[Profit]),L31)</f>
        <v>763.15499999999997</v>
      </c>
    </row>
    <row r="32" spans="1:15" ht="31.25" customHeight="1" x14ac:dyDescent="0.45">
      <c r="A32" s="3" t="s">
        <v>134</v>
      </c>
      <c r="B32" s="17" t="s">
        <v>135</v>
      </c>
      <c r="C32" s="17" t="s">
        <v>136</v>
      </c>
      <c r="D32" s="1" t="s">
        <v>119</v>
      </c>
      <c r="E32" s="1" t="s">
        <v>40</v>
      </c>
      <c r="F32" s="1" t="s">
        <v>43</v>
      </c>
      <c r="G32" s="1" t="s">
        <v>17</v>
      </c>
      <c r="H32" s="1" t="s">
        <v>27</v>
      </c>
      <c r="I32" s="1">
        <v>668.16</v>
      </c>
      <c r="J32" s="1">
        <v>9</v>
      </c>
      <c r="K32" s="1">
        <v>0.2</v>
      </c>
      <c r="L32" s="1">
        <v>75.168000000000006</v>
      </c>
      <c r="M32" s="4" t="str">
        <f t="shared" si="0"/>
        <v>Low</v>
      </c>
      <c r="N32" s="12">
        <f>IF(ISBLANK(I32),AVERAGEIF(Table4[Category],G32,Table4[Sales]),I32)</f>
        <v>668.16</v>
      </c>
      <c r="O32" s="12">
        <f>IF(ISBLANK(L32),AVERAGEIF(Table4[Order Priority],M32,Table4[Profit]),L32)</f>
        <v>75.168000000000006</v>
      </c>
    </row>
    <row r="33" spans="1:15" ht="31.25" customHeight="1" x14ac:dyDescent="0.45">
      <c r="A33" s="3" t="s">
        <v>137</v>
      </c>
      <c r="B33" s="17" t="s">
        <v>138</v>
      </c>
      <c r="C33" s="17">
        <v>41010</v>
      </c>
      <c r="D33" s="1" t="s">
        <v>139</v>
      </c>
      <c r="E33" s="1" t="s">
        <v>15</v>
      </c>
      <c r="F33" s="1" t="s">
        <v>16</v>
      </c>
      <c r="G33" s="1" t="s">
        <v>45</v>
      </c>
      <c r="H33" s="1" t="s">
        <v>140</v>
      </c>
      <c r="I33" s="1">
        <v>2526.9299999999998</v>
      </c>
      <c r="J33" s="1">
        <v>5</v>
      </c>
      <c r="K33" s="1">
        <v>0.1</v>
      </c>
      <c r="L33" s="1">
        <v>561.48</v>
      </c>
      <c r="M33" s="4" t="str">
        <f t="shared" si="0"/>
        <v>Medium</v>
      </c>
      <c r="N33" s="13">
        <f>IF(ISBLANK(I33),AVERAGEIF(Table4[Category],G33,Table4[Sales]),I33)</f>
        <v>2526.9299999999998</v>
      </c>
      <c r="O33" s="13">
        <f>IF(ISBLANK(L33),AVERAGEIF(Table4[Order Priority],M33,Table4[Profit]),L33)</f>
        <v>561.48</v>
      </c>
    </row>
    <row r="34" spans="1:15" ht="31.25" customHeight="1" x14ac:dyDescent="0.45">
      <c r="A34" s="3" t="s">
        <v>141</v>
      </c>
      <c r="B34" s="17" t="s">
        <v>135</v>
      </c>
      <c r="C34" s="17" t="s">
        <v>136</v>
      </c>
      <c r="D34" s="1" t="s">
        <v>119</v>
      </c>
      <c r="E34" s="1" t="s">
        <v>40</v>
      </c>
      <c r="F34" s="1" t="s">
        <v>43</v>
      </c>
      <c r="G34" s="1" t="s">
        <v>45</v>
      </c>
      <c r="H34" s="1" t="s">
        <v>24</v>
      </c>
      <c r="I34" s="1">
        <v>323.10000000000002</v>
      </c>
      <c r="J34" s="1">
        <v>2</v>
      </c>
      <c r="K34" s="1">
        <v>0</v>
      </c>
      <c r="L34" s="1">
        <v>61.389000000000003</v>
      </c>
      <c r="M34" s="4" t="str">
        <f t="shared" ref="M34:M65" si="1">IF(L34&gt;1000,"High",IF(L34&gt;=500,"Medium",IF(L34&lt;=0,"Critical","Low")))</f>
        <v>Low</v>
      </c>
      <c r="N34" s="12">
        <f>IF(ISBLANK(I34),AVERAGEIF(Table4[Category],G34,Table4[Sales]),I34)</f>
        <v>323.10000000000002</v>
      </c>
      <c r="O34" s="12">
        <f>IF(ISBLANK(L34),AVERAGEIF(Table4[Order Priority],M34,Table4[Profit]),L34)</f>
        <v>61.389000000000003</v>
      </c>
    </row>
    <row r="35" spans="1:15" ht="31.25" customHeight="1" x14ac:dyDescent="0.45">
      <c r="A35" s="3" t="s">
        <v>142</v>
      </c>
      <c r="B35" s="17" t="s">
        <v>143</v>
      </c>
      <c r="C35" s="17" t="s">
        <v>144</v>
      </c>
      <c r="D35" s="1" t="s">
        <v>119</v>
      </c>
      <c r="E35" s="1" t="s">
        <v>145</v>
      </c>
      <c r="F35" s="1" t="s">
        <v>146</v>
      </c>
      <c r="G35" s="1" t="s">
        <v>147</v>
      </c>
      <c r="H35" s="1" t="s">
        <v>75</v>
      </c>
      <c r="I35" s="1">
        <v>3817.26</v>
      </c>
      <c r="J35" s="1">
        <v>6</v>
      </c>
      <c r="K35" s="1">
        <v>0</v>
      </c>
      <c r="L35" s="1">
        <v>1068.6600000000001</v>
      </c>
      <c r="M35" s="4" t="str">
        <f t="shared" si="1"/>
        <v>High</v>
      </c>
      <c r="N35" s="12">
        <f>IF(ISBLANK(I35),AVERAGEIF(Table4[Category],G35,Table4[Sales]),I35)</f>
        <v>3817.26</v>
      </c>
      <c r="O35" s="12">
        <f>IF(ISBLANK(L35),AVERAGEIF(Table4[Order Priority],M35,Table4[Profit]),L35)</f>
        <v>1068.6600000000001</v>
      </c>
    </row>
    <row r="36" spans="1:15" ht="31.25" customHeight="1" x14ac:dyDescent="0.45">
      <c r="A36" s="3" t="s">
        <v>148</v>
      </c>
      <c r="B36" s="17">
        <v>41248</v>
      </c>
      <c r="C36" s="17">
        <v>41047</v>
      </c>
      <c r="D36" s="1" t="s">
        <v>119</v>
      </c>
      <c r="E36" s="1" t="s">
        <v>40</v>
      </c>
      <c r="F36" s="1" t="s">
        <v>43</v>
      </c>
      <c r="G36" s="1" t="s">
        <v>33</v>
      </c>
      <c r="H36" s="1" t="s">
        <v>44</v>
      </c>
      <c r="I36" s="1">
        <v>279.45600000000002</v>
      </c>
      <c r="J36" s="1">
        <v>6</v>
      </c>
      <c r="K36" s="1">
        <v>0.2</v>
      </c>
      <c r="L36" s="1">
        <v>20.959199999999999</v>
      </c>
      <c r="M36" s="4" t="str">
        <f t="shared" si="1"/>
        <v>Low</v>
      </c>
      <c r="N36" s="13">
        <f>IF(ISBLANK(I36),AVERAGEIF(Table4[Category],G36,Table4[Sales]),I36)</f>
        <v>279.45600000000002</v>
      </c>
      <c r="O36" s="13">
        <f>IF(ISBLANK(L36),AVERAGEIF(Table4[Order Priority],M36,Table4[Profit]),L36)</f>
        <v>20.959199999999999</v>
      </c>
    </row>
    <row r="37" spans="1:15" ht="31.25" customHeight="1" x14ac:dyDescent="0.45">
      <c r="A37" s="3" t="s">
        <v>149</v>
      </c>
      <c r="B37" s="17" t="s">
        <v>150</v>
      </c>
      <c r="C37" s="17" t="s">
        <v>151</v>
      </c>
      <c r="D37" s="1" t="s">
        <v>476</v>
      </c>
      <c r="E37" s="1" t="s">
        <v>40</v>
      </c>
      <c r="F37" s="1" t="s">
        <v>120</v>
      </c>
      <c r="G37" s="1" t="s">
        <v>17</v>
      </c>
      <c r="H37" s="1" t="s">
        <v>27</v>
      </c>
      <c r="I37" s="1">
        <v>34.770000000000003</v>
      </c>
      <c r="J37" s="1">
        <v>3</v>
      </c>
      <c r="K37" s="1">
        <v>0</v>
      </c>
      <c r="L37" s="1">
        <v>11.4741</v>
      </c>
      <c r="M37" s="4" t="str">
        <f t="shared" si="1"/>
        <v>Low</v>
      </c>
      <c r="N37" s="12">
        <f>IF(ISBLANK(I37),AVERAGEIF(Table4[Category],G37,Table4[Sales]),I37)</f>
        <v>34.770000000000003</v>
      </c>
      <c r="O37" s="12">
        <f>IF(ISBLANK(L37),AVERAGEIF(Table4[Order Priority],M37,Table4[Profit]),L37)</f>
        <v>11.4741</v>
      </c>
    </row>
    <row r="38" spans="1:15" ht="31.25" customHeight="1" x14ac:dyDescent="0.45">
      <c r="A38" s="3" t="s">
        <v>152</v>
      </c>
      <c r="B38" s="17" t="s">
        <v>153</v>
      </c>
      <c r="C38" s="17" t="s">
        <v>154</v>
      </c>
      <c r="D38" s="1" t="s">
        <v>476</v>
      </c>
      <c r="E38" s="1" t="s">
        <v>97</v>
      </c>
      <c r="F38" s="1" t="s">
        <v>98</v>
      </c>
      <c r="G38" s="1" t="s">
        <v>17</v>
      </c>
      <c r="H38" s="1" t="s">
        <v>140</v>
      </c>
      <c r="I38" s="1">
        <v>4141.0200000000004</v>
      </c>
      <c r="J38" s="1">
        <v>13</v>
      </c>
      <c r="K38" s="1">
        <v>0</v>
      </c>
      <c r="L38" s="1">
        <v>1697.67</v>
      </c>
      <c r="M38" s="4" t="str">
        <f t="shared" si="1"/>
        <v>High</v>
      </c>
      <c r="N38" s="12">
        <f>IF(ISBLANK(I38),AVERAGEIF(Table4[Category],G38,Table4[Sales]),I38)</f>
        <v>4141.0200000000004</v>
      </c>
      <c r="O38" s="12">
        <f>IF(ISBLANK(L38),AVERAGEIF(Table4[Order Priority],M38,Table4[Profit]),L38)</f>
        <v>1697.67</v>
      </c>
    </row>
    <row r="39" spans="1:15" ht="31.25" customHeight="1" x14ac:dyDescent="0.45">
      <c r="A39" s="3" t="s">
        <v>155</v>
      </c>
      <c r="B39" s="17">
        <v>41183</v>
      </c>
      <c r="C39" s="17">
        <v>40919</v>
      </c>
      <c r="D39" s="1" t="s">
        <v>156</v>
      </c>
      <c r="E39" s="1" t="s">
        <v>15</v>
      </c>
      <c r="F39" s="1" t="s">
        <v>16</v>
      </c>
      <c r="G39" s="1" t="s">
        <v>17</v>
      </c>
      <c r="H39" s="1" t="s">
        <v>140</v>
      </c>
      <c r="I39" s="1">
        <v>2875.0949999999998</v>
      </c>
      <c r="J39" s="1">
        <v>5</v>
      </c>
      <c r="K39" s="1">
        <v>0.1</v>
      </c>
      <c r="L39" s="1">
        <v>511.09500000000003</v>
      </c>
      <c r="M39" s="4" t="str">
        <f t="shared" si="1"/>
        <v>Medium</v>
      </c>
      <c r="N39" s="13">
        <f>IF(ISBLANK(I39),AVERAGEIF(Table4[Category],G39,Table4[Sales]),I39)</f>
        <v>2875.0949999999998</v>
      </c>
      <c r="O39" s="13">
        <f>IF(ISBLANK(L39),AVERAGEIF(Table4[Order Priority],M39,Table4[Profit]),L39)</f>
        <v>511.09500000000003</v>
      </c>
    </row>
    <row r="40" spans="1:15" ht="31.25" customHeight="1" x14ac:dyDescent="0.45">
      <c r="A40" s="3" t="s">
        <v>157</v>
      </c>
      <c r="B40" s="17" t="s">
        <v>158</v>
      </c>
      <c r="C40" s="17" t="s">
        <v>159</v>
      </c>
      <c r="D40" s="1" t="s">
        <v>160</v>
      </c>
      <c r="E40" s="1" t="s">
        <v>161</v>
      </c>
      <c r="F40" s="1" t="s">
        <v>162</v>
      </c>
      <c r="G40" s="1" t="s">
        <v>17</v>
      </c>
      <c r="H40" s="1" t="s">
        <v>34</v>
      </c>
      <c r="I40" s="1">
        <v>3200.5962</v>
      </c>
      <c r="J40" s="1">
        <v>6</v>
      </c>
      <c r="K40" s="1">
        <v>0.17</v>
      </c>
      <c r="L40" s="1">
        <v>-77.203800000000001</v>
      </c>
      <c r="M40" s="4" t="str">
        <f t="shared" si="1"/>
        <v>Critical</v>
      </c>
      <c r="N40" s="12">
        <f>IF(ISBLANK(I40),AVERAGEIF(Table4[Category],G40,Table4[Sales]),I40)</f>
        <v>3200.5962</v>
      </c>
      <c r="O40" s="12">
        <f>IF(ISBLANK(L40),AVERAGEIF(Table4[Order Priority],M40,Table4[Profit]),L40)</f>
        <v>-77.203800000000001</v>
      </c>
    </row>
    <row r="41" spans="1:15" ht="31.25" customHeight="1" x14ac:dyDescent="0.45">
      <c r="A41" s="3" t="s">
        <v>163</v>
      </c>
      <c r="B41" s="17">
        <v>42319</v>
      </c>
      <c r="C41" s="17" t="s">
        <v>164</v>
      </c>
      <c r="D41" s="1" t="s">
        <v>165</v>
      </c>
      <c r="E41" s="1" t="s">
        <v>124</v>
      </c>
      <c r="F41" s="1" t="s">
        <v>51</v>
      </c>
      <c r="G41" s="1" t="s">
        <v>17</v>
      </c>
      <c r="H41" s="1" t="s">
        <v>27</v>
      </c>
      <c r="I41" s="1">
        <v>4518.78</v>
      </c>
      <c r="J41" s="1">
        <v>7</v>
      </c>
      <c r="K41" s="1">
        <v>0</v>
      </c>
      <c r="L41" s="1">
        <v>632.52</v>
      </c>
      <c r="M41" s="4" t="str">
        <f t="shared" si="1"/>
        <v>Medium</v>
      </c>
      <c r="N41" s="12">
        <f>IF(ISBLANK(I41),AVERAGEIF(Table4[Category],G41,Table4[Sales]),I41)</f>
        <v>4518.78</v>
      </c>
      <c r="O41" s="12">
        <f>IF(ISBLANK(L41),AVERAGEIF(Table4[Order Priority],M41,Table4[Profit]),L41)</f>
        <v>632.52</v>
      </c>
    </row>
    <row r="42" spans="1:15" ht="31.25" customHeight="1" x14ac:dyDescent="0.45">
      <c r="A42" s="3" t="s">
        <v>166</v>
      </c>
      <c r="B42" s="17" t="s">
        <v>167</v>
      </c>
      <c r="C42" s="17" t="s">
        <v>168</v>
      </c>
      <c r="D42" s="1" t="s">
        <v>169</v>
      </c>
      <c r="E42" s="1" t="s">
        <v>124</v>
      </c>
      <c r="F42" s="1" t="s">
        <v>51</v>
      </c>
      <c r="G42" s="1" t="s">
        <v>33</v>
      </c>
      <c r="H42" s="1" t="s">
        <v>27</v>
      </c>
      <c r="I42" s="1">
        <v>5667.87</v>
      </c>
      <c r="J42" s="1">
        <v>13</v>
      </c>
      <c r="K42" s="1">
        <v>0</v>
      </c>
      <c r="L42" s="1">
        <v>2097.0300000000002</v>
      </c>
      <c r="M42" s="4" t="str">
        <f t="shared" si="1"/>
        <v>High</v>
      </c>
      <c r="N42" s="13">
        <f>IF(ISBLANK(I42),AVERAGEIF(Table4[Category],G42,Table4[Sales]),I42)</f>
        <v>5667.87</v>
      </c>
      <c r="O42" s="13">
        <f>IF(ISBLANK(L42),AVERAGEIF(Table4[Order Priority],M42,Table4[Profit]),L42)</f>
        <v>2097.0300000000002</v>
      </c>
    </row>
    <row r="43" spans="1:15" ht="31.25" customHeight="1" x14ac:dyDescent="0.45">
      <c r="A43" s="3" t="s">
        <v>170</v>
      </c>
      <c r="B43" s="17" t="s">
        <v>171</v>
      </c>
      <c r="C43" s="17" t="s">
        <v>172</v>
      </c>
      <c r="D43" s="1" t="s">
        <v>173</v>
      </c>
      <c r="E43" s="1" t="s">
        <v>97</v>
      </c>
      <c r="F43" s="1" t="s">
        <v>98</v>
      </c>
      <c r="G43" s="1" t="s">
        <v>17</v>
      </c>
      <c r="H43" s="1" t="s">
        <v>27</v>
      </c>
      <c r="I43" s="1">
        <v>5785.02</v>
      </c>
      <c r="J43" s="1">
        <v>9</v>
      </c>
      <c r="K43" s="1">
        <v>0</v>
      </c>
      <c r="L43" s="1">
        <v>404.73</v>
      </c>
      <c r="M43" s="4" t="str">
        <f t="shared" si="1"/>
        <v>Low</v>
      </c>
      <c r="N43" s="12">
        <f>IF(ISBLANK(I43),AVERAGEIF(Table4[Category],G43,Table4[Sales]),I43)</f>
        <v>5785.02</v>
      </c>
      <c r="O43" s="12">
        <f>IF(ISBLANK(L43),AVERAGEIF(Table4[Order Priority],M43,Table4[Profit]),L43)</f>
        <v>404.73</v>
      </c>
    </row>
    <row r="44" spans="1:15" ht="31.25" customHeight="1" x14ac:dyDescent="0.45">
      <c r="A44" s="3" t="s">
        <v>174</v>
      </c>
      <c r="B44" s="17" t="s">
        <v>175</v>
      </c>
      <c r="C44" s="17" t="s">
        <v>176</v>
      </c>
      <c r="D44" s="1" t="s">
        <v>177</v>
      </c>
      <c r="E44" s="1" t="s">
        <v>23</v>
      </c>
      <c r="F44" s="1" t="s">
        <v>71</v>
      </c>
      <c r="G44" s="1" t="s">
        <v>45</v>
      </c>
      <c r="H44" s="1" t="s">
        <v>178</v>
      </c>
      <c r="I44" s="1">
        <v>3018.6239999999998</v>
      </c>
      <c r="J44" s="1">
        <v>7</v>
      </c>
      <c r="K44" s="1">
        <v>0.2</v>
      </c>
      <c r="L44" s="1">
        <v>377.24400000000003</v>
      </c>
      <c r="M44" s="4" t="str">
        <f t="shared" si="1"/>
        <v>Low</v>
      </c>
      <c r="N44" s="12">
        <f>IF(ISBLANK(I44),AVERAGEIF(Table4[Category],G44,Table4[Sales]),I44)</f>
        <v>3018.6239999999998</v>
      </c>
      <c r="O44" s="12">
        <f>IF(ISBLANK(L44),AVERAGEIF(Table4[Order Priority],M44,Table4[Profit]),L44)</f>
        <v>377.24400000000003</v>
      </c>
    </row>
    <row r="45" spans="1:15" ht="31.25" customHeight="1" x14ac:dyDescent="0.45">
      <c r="A45" s="3" t="s">
        <v>179</v>
      </c>
      <c r="B45" s="17" t="s">
        <v>180</v>
      </c>
      <c r="C45" s="17" t="s">
        <v>181</v>
      </c>
      <c r="D45" s="1" t="s">
        <v>476</v>
      </c>
      <c r="E45" s="1" t="s">
        <v>40</v>
      </c>
      <c r="F45" s="1" t="s">
        <v>182</v>
      </c>
      <c r="G45" s="1" t="s">
        <v>33</v>
      </c>
      <c r="H45" s="1" t="s">
        <v>27</v>
      </c>
      <c r="I45" s="1">
        <v>86.45</v>
      </c>
      <c r="J45" s="1">
        <v>7</v>
      </c>
      <c r="K45" s="1">
        <v>0</v>
      </c>
      <c r="L45" s="1"/>
      <c r="M45" s="4" t="str">
        <f t="shared" si="1"/>
        <v>Critical</v>
      </c>
      <c r="N45" s="13">
        <f>IF(ISBLANK(I45),AVERAGEIF(Table4[Category],G45,Table4[Sales]),I45)</f>
        <v>86.45</v>
      </c>
      <c r="O45" s="13">
        <f>IF(ISBLANK(L45),AVERAGEIF(Table4[Order Priority],M45,Table4[Profit]),L45)</f>
        <v>-390.4273300000001</v>
      </c>
    </row>
    <row r="46" spans="1:15" ht="31.25" customHeight="1" x14ac:dyDescent="0.45">
      <c r="A46" s="3" t="s">
        <v>183</v>
      </c>
      <c r="B46" s="17">
        <v>41854</v>
      </c>
      <c r="C46" s="17">
        <v>41706</v>
      </c>
      <c r="D46" s="1" t="s">
        <v>184</v>
      </c>
      <c r="E46" s="1" t="s">
        <v>70</v>
      </c>
      <c r="F46" s="1" t="s">
        <v>71</v>
      </c>
      <c r="G46" s="1" t="s">
        <v>33</v>
      </c>
      <c r="H46" s="1" t="s">
        <v>75</v>
      </c>
      <c r="I46" s="1">
        <v>2092.5</v>
      </c>
      <c r="J46" s="1">
        <v>5</v>
      </c>
      <c r="K46" s="1">
        <v>0.1</v>
      </c>
      <c r="L46" s="1">
        <v>720.75</v>
      </c>
      <c r="M46" s="4" t="str">
        <f t="shared" si="1"/>
        <v>Medium</v>
      </c>
      <c r="N46" s="12">
        <f>IF(ISBLANK(I46),AVERAGEIF(Table4[Category],G46,Table4[Sales]),I46)</f>
        <v>2092.5</v>
      </c>
      <c r="O46" s="12">
        <f>IF(ISBLANK(L46),AVERAGEIF(Table4[Order Priority],M46,Table4[Profit]),L46)</f>
        <v>720.75</v>
      </c>
    </row>
    <row r="47" spans="1:15" ht="31.25" customHeight="1" x14ac:dyDescent="0.45">
      <c r="A47" s="3" t="s">
        <v>185</v>
      </c>
      <c r="B47" s="17" t="s">
        <v>186</v>
      </c>
      <c r="C47" s="17" t="s">
        <v>187</v>
      </c>
      <c r="D47" s="1" t="s">
        <v>188</v>
      </c>
      <c r="E47" s="1" t="s">
        <v>65</v>
      </c>
      <c r="F47" s="1" t="s">
        <v>93</v>
      </c>
      <c r="G47" s="1" t="s">
        <v>33</v>
      </c>
      <c r="H47" s="1" t="s">
        <v>46</v>
      </c>
      <c r="I47" s="1">
        <v>2761.2</v>
      </c>
      <c r="J47" s="1">
        <v>6</v>
      </c>
      <c r="K47" s="1">
        <v>0</v>
      </c>
      <c r="L47" s="1">
        <v>110.34</v>
      </c>
      <c r="M47" s="4" t="str">
        <f t="shared" si="1"/>
        <v>Low</v>
      </c>
      <c r="N47" s="12">
        <f>IF(ISBLANK(I47),AVERAGEIF(Table4[Category],G47,Table4[Sales]),I47)</f>
        <v>2761.2</v>
      </c>
      <c r="O47" s="12">
        <f>IF(ISBLANK(L47),AVERAGEIF(Table4[Order Priority],M47,Table4[Profit]),L47)</f>
        <v>110.34</v>
      </c>
    </row>
    <row r="48" spans="1:15" ht="31.25" customHeight="1" x14ac:dyDescent="0.45">
      <c r="A48" s="3" t="s">
        <v>189</v>
      </c>
      <c r="B48" s="17">
        <v>42009</v>
      </c>
      <c r="C48" s="17">
        <v>42009</v>
      </c>
      <c r="D48" s="1" t="s">
        <v>190</v>
      </c>
      <c r="E48" s="1" t="s">
        <v>124</v>
      </c>
      <c r="F48" s="1" t="s">
        <v>51</v>
      </c>
      <c r="G48" s="1" t="s">
        <v>17</v>
      </c>
      <c r="H48" s="1" t="s">
        <v>24</v>
      </c>
      <c r="I48" s="1">
        <v>2174.13</v>
      </c>
      <c r="J48" s="1">
        <v>7</v>
      </c>
      <c r="K48" s="1">
        <v>0</v>
      </c>
      <c r="L48" s="1">
        <v>500.01</v>
      </c>
      <c r="M48" s="4" t="str">
        <f t="shared" si="1"/>
        <v>Medium</v>
      </c>
      <c r="N48" s="13">
        <f>IF(ISBLANK(I48),AVERAGEIF(Table4[Category],G48,Table4[Sales]),I48)</f>
        <v>2174.13</v>
      </c>
      <c r="O48" s="13">
        <f>IF(ISBLANK(L48),AVERAGEIF(Table4[Order Priority],M48,Table4[Profit]),L48)</f>
        <v>500.01</v>
      </c>
    </row>
    <row r="49" spans="1:15" ht="31.25" customHeight="1" x14ac:dyDescent="0.45">
      <c r="A49" s="3" t="s">
        <v>191</v>
      </c>
      <c r="B49" s="17" t="s">
        <v>138</v>
      </c>
      <c r="C49" s="17" t="s">
        <v>192</v>
      </c>
      <c r="D49" s="1" t="s">
        <v>193</v>
      </c>
      <c r="E49" s="1" t="s">
        <v>194</v>
      </c>
      <c r="F49" s="1" t="s">
        <v>62</v>
      </c>
      <c r="G49" s="1" t="s">
        <v>33</v>
      </c>
      <c r="H49" s="1" t="s">
        <v>24</v>
      </c>
      <c r="I49" s="1"/>
      <c r="J49" s="1">
        <v>11</v>
      </c>
      <c r="K49" s="1">
        <v>0</v>
      </c>
      <c r="L49" s="1">
        <v>868.12</v>
      </c>
      <c r="M49" s="4" t="str">
        <f t="shared" si="1"/>
        <v>Medium</v>
      </c>
      <c r="N49" s="12">
        <f>IF(ISBLANK(I49),AVERAGEIF(Table4[Category],G49,Table4[Sales]),I49)</f>
        <v>2398.8796666666672</v>
      </c>
      <c r="O49" s="12">
        <f>IF(ISBLANK(L49),AVERAGEIF(Table4[Order Priority],M49,Table4[Profit]),L49)</f>
        <v>868.12</v>
      </c>
    </row>
    <row r="50" spans="1:15" ht="31.25" customHeight="1" x14ac:dyDescent="0.45">
      <c r="A50" s="3" t="s">
        <v>195</v>
      </c>
      <c r="B50" s="17" t="s">
        <v>196</v>
      </c>
      <c r="C50" s="17" t="s">
        <v>197</v>
      </c>
      <c r="D50" s="1" t="s">
        <v>119</v>
      </c>
      <c r="E50" s="1" t="s">
        <v>40</v>
      </c>
      <c r="F50" s="1" t="s">
        <v>43</v>
      </c>
      <c r="G50" s="1" t="s">
        <v>198</v>
      </c>
      <c r="H50" s="1" t="s">
        <v>140</v>
      </c>
      <c r="I50" s="1">
        <v>49.408000000000001</v>
      </c>
      <c r="J50" s="1">
        <v>4</v>
      </c>
      <c r="K50" s="1">
        <v>0.2</v>
      </c>
      <c r="L50" s="1"/>
      <c r="M50" s="4" t="str">
        <f t="shared" si="1"/>
        <v>Critical</v>
      </c>
      <c r="N50" s="12">
        <f>IF(ISBLANK(I50),AVERAGEIF(Table4[Category],G50,Table4[Sales]),I50)</f>
        <v>49.408000000000001</v>
      </c>
      <c r="O50" s="12">
        <f>IF(ISBLANK(L50),AVERAGEIF(Table4[Order Priority],M50,Table4[Profit]),L50)</f>
        <v>-390.4273300000001</v>
      </c>
    </row>
    <row r="51" spans="1:15" ht="31.25" customHeight="1" x14ac:dyDescent="0.45">
      <c r="A51" s="3" t="s">
        <v>199</v>
      </c>
      <c r="B51" s="17" t="s">
        <v>200</v>
      </c>
      <c r="C51" s="17" t="s">
        <v>201</v>
      </c>
      <c r="D51" s="1" t="s">
        <v>202</v>
      </c>
      <c r="E51" s="1" t="s">
        <v>203</v>
      </c>
      <c r="F51" s="1" t="s">
        <v>204</v>
      </c>
      <c r="G51" s="1" t="s">
        <v>17</v>
      </c>
      <c r="H51" s="1" t="s">
        <v>24</v>
      </c>
      <c r="I51" s="1">
        <v>2108.64</v>
      </c>
      <c r="J51" s="1">
        <v>8</v>
      </c>
      <c r="K51" s="1">
        <v>0</v>
      </c>
      <c r="L51" s="1">
        <v>527.04</v>
      </c>
      <c r="M51" s="4" t="str">
        <f t="shared" si="1"/>
        <v>Medium</v>
      </c>
      <c r="N51" s="13">
        <f>IF(ISBLANK(I51),AVERAGEIF(Table4[Category],G51,Table4[Sales]),I51)</f>
        <v>2108.64</v>
      </c>
      <c r="O51" s="13">
        <f>IF(ISBLANK(L51),AVERAGEIF(Table4[Order Priority],M51,Table4[Profit]),L51)</f>
        <v>527.04</v>
      </c>
    </row>
    <row r="52" spans="1:15" ht="31.25" customHeight="1" x14ac:dyDescent="0.45">
      <c r="A52" s="3" t="s">
        <v>149</v>
      </c>
      <c r="B52" s="17" t="s">
        <v>150</v>
      </c>
      <c r="C52" s="17" t="s">
        <v>151</v>
      </c>
      <c r="D52" s="1" t="s">
        <v>119</v>
      </c>
      <c r="E52" s="1" t="s">
        <v>40</v>
      </c>
      <c r="F52" s="1" t="s">
        <v>120</v>
      </c>
      <c r="G52" s="1" t="s">
        <v>45</v>
      </c>
      <c r="H52" s="1" t="s">
        <v>46</v>
      </c>
      <c r="I52" s="1"/>
      <c r="J52" s="1">
        <v>3</v>
      </c>
      <c r="K52" s="1">
        <v>0</v>
      </c>
      <c r="L52" s="1">
        <v>8.6940000000000008</v>
      </c>
      <c r="M52" s="4" t="str">
        <f t="shared" si="1"/>
        <v>Low</v>
      </c>
      <c r="N52" s="12">
        <f>IF(ISBLANK(I52),AVERAGEIF(Table4[Category],G52,Table4[Sales]),I52)</f>
        <v>1621.4477189189192</v>
      </c>
      <c r="O52" s="12">
        <f>IF(ISBLANK(L52),AVERAGEIF(Table4[Order Priority],M52,Table4[Profit]),L52)</f>
        <v>8.6940000000000008</v>
      </c>
    </row>
    <row r="53" spans="1:15" ht="31.25" customHeight="1" x14ac:dyDescent="0.45">
      <c r="A53" s="3" t="s">
        <v>106</v>
      </c>
      <c r="B53" s="17">
        <v>41259</v>
      </c>
      <c r="C53" s="17" t="s">
        <v>108</v>
      </c>
      <c r="D53" s="1" t="s">
        <v>109</v>
      </c>
      <c r="E53" s="1" t="s">
        <v>110</v>
      </c>
      <c r="F53" s="1" t="s">
        <v>93</v>
      </c>
      <c r="G53" s="1" t="s">
        <v>33</v>
      </c>
      <c r="H53" s="1" t="s">
        <v>34</v>
      </c>
      <c r="I53" s="1"/>
      <c r="J53" s="1">
        <v>5</v>
      </c>
      <c r="K53" s="1">
        <v>0</v>
      </c>
      <c r="L53" s="1"/>
      <c r="M53" s="4" t="str">
        <f t="shared" si="1"/>
        <v>Critical</v>
      </c>
      <c r="N53" s="12">
        <f>IF(ISBLANK(I53),AVERAGEIF(Table4[Category],G53,Table4[Sales]),I53)</f>
        <v>2398.8796666666672</v>
      </c>
      <c r="O53" s="12">
        <f>IF(ISBLANK(L53),AVERAGEIF(Table4[Order Priority],M53,Table4[Profit]),L53)</f>
        <v>-390.4273300000001</v>
      </c>
    </row>
    <row r="54" spans="1:15" ht="31.25" customHeight="1" x14ac:dyDescent="0.45">
      <c r="A54" s="3" t="s">
        <v>205</v>
      </c>
      <c r="B54" s="17" t="s">
        <v>206</v>
      </c>
      <c r="C54" s="17" t="s">
        <v>206</v>
      </c>
      <c r="D54" s="1" t="s">
        <v>207</v>
      </c>
      <c r="E54" s="1" t="s">
        <v>208</v>
      </c>
      <c r="F54" s="1" t="s">
        <v>87</v>
      </c>
      <c r="G54" s="1" t="s">
        <v>17</v>
      </c>
      <c r="H54" s="1" t="s">
        <v>34</v>
      </c>
      <c r="I54" s="1">
        <v>2582.16</v>
      </c>
      <c r="J54" s="1">
        <v>4</v>
      </c>
      <c r="K54" s="1">
        <v>0</v>
      </c>
      <c r="L54" s="1">
        <v>593.88</v>
      </c>
      <c r="M54" s="4" t="str">
        <f t="shared" si="1"/>
        <v>Medium</v>
      </c>
      <c r="N54" s="13">
        <f>IF(ISBLANK(I54),AVERAGEIF(Table4[Category],G54,Table4[Sales]),I54)</f>
        <v>2582.16</v>
      </c>
      <c r="O54" s="13">
        <f>IF(ISBLANK(L54),AVERAGEIF(Table4[Order Priority],M54,Table4[Profit]),L54)</f>
        <v>593.88</v>
      </c>
    </row>
    <row r="55" spans="1:15" ht="31.25" customHeight="1" x14ac:dyDescent="0.45">
      <c r="A55" s="3" t="s">
        <v>209</v>
      </c>
      <c r="B55" s="17" t="s">
        <v>210</v>
      </c>
      <c r="C55" s="17" t="s">
        <v>211</v>
      </c>
      <c r="D55" s="1" t="s">
        <v>212</v>
      </c>
      <c r="E55" s="1" t="s">
        <v>124</v>
      </c>
      <c r="F55" s="1" t="s">
        <v>51</v>
      </c>
      <c r="G55" s="1" t="s">
        <v>17</v>
      </c>
      <c r="H55" s="1" t="s">
        <v>178</v>
      </c>
      <c r="I55" s="1">
        <v>1526.52</v>
      </c>
      <c r="J55" s="1">
        <v>4</v>
      </c>
      <c r="K55" s="1">
        <v>0</v>
      </c>
      <c r="L55" s="1">
        <v>732.72</v>
      </c>
      <c r="M55" s="4" t="str">
        <f t="shared" si="1"/>
        <v>Medium</v>
      </c>
      <c r="N55" s="12">
        <f>IF(ISBLANK(I55),AVERAGEIF(Table4[Category],G55,Table4[Sales]),I55)</f>
        <v>1526.52</v>
      </c>
      <c r="O55" s="12">
        <f>IF(ISBLANK(L55),AVERAGEIF(Table4[Order Priority],M55,Table4[Profit]),L55)</f>
        <v>732.72</v>
      </c>
    </row>
    <row r="56" spans="1:15" ht="31.25" customHeight="1" x14ac:dyDescent="0.45">
      <c r="A56" s="3" t="s">
        <v>116</v>
      </c>
      <c r="B56" s="17" t="s">
        <v>117</v>
      </c>
      <c r="C56" s="17" t="s">
        <v>118</v>
      </c>
      <c r="D56" s="1" t="s">
        <v>119</v>
      </c>
      <c r="E56" s="1" t="s">
        <v>40</v>
      </c>
      <c r="F56" s="2" t="s">
        <v>213</v>
      </c>
      <c r="G56" s="1" t="s">
        <v>17</v>
      </c>
      <c r="H56" s="1" t="s">
        <v>27</v>
      </c>
      <c r="I56" s="1">
        <v>9.9120000000000008</v>
      </c>
      <c r="J56" s="1">
        <v>3</v>
      </c>
      <c r="K56" s="1">
        <v>0.2</v>
      </c>
      <c r="L56" s="1"/>
      <c r="M56" s="4" t="str">
        <f t="shared" si="1"/>
        <v>Critical</v>
      </c>
      <c r="N56" s="12">
        <f>IF(ISBLANK(I56),AVERAGEIF(Table4[Category],G56,Table4[Sales]),I56)</f>
        <v>9.9120000000000008</v>
      </c>
      <c r="O56" s="12">
        <f>IF(ISBLANK(L56),AVERAGEIF(Table4[Order Priority],M56,Table4[Profit]),L56)</f>
        <v>-390.4273300000001</v>
      </c>
    </row>
    <row r="57" spans="1:15" ht="31.25" customHeight="1" x14ac:dyDescent="0.45">
      <c r="A57" s="3" t="s">
        <v>214</v>
      </c>
      <c r="B57" s="17" t="s">
        <v>215</v>
      </c>
      <c r="C57" s="17" t="s">
        <v>216</v>
      </c>
      <c r="D57" s="1" t="s">
        <v>217</v>
      </c>
      <c r="E57" s="1" t="s">
        <v>124</v>
      </c>
      <c r="F57" s="1" t="s">
        <v>51</v>
      </c>
      <c r="G57" s="1" t="s">
        <v>33</v>
      </c>
      <c r="H57" s="1" t="s">
        <v>34</v>
      </c>
      <c r="I57" s="1">
        <v>1745.34</v>
      </c>
      <c r="J57" s="1">
        <v>2</v>
      </c>
      <c r="K57" s="1">
        <v>0</v>
      </c>
      <c r="L57" s="1">
        <v>226.86</v>
      </c>
      <c r="M57" s="4" t="str">
        <f t="shared" si="1"/>
        <v>Low</v>
      </c>
      <c r="N57" s="13">
        <f>IF(ISBLANK(I57),AVERAGEIF(Table4[Category],G57,Table4[Sales]),I57)</f>
        <v>1745.34</v>
      </c>
      <c r="O57" s="13">
        <f>IF(ISBLANK(L57),AVERAGEIF(Table4[Order Priority],M57,Table4[Profit]),L57)</f>
        <v>226.86</v>
      </c>
    </row>
    <row r="58" spans="1:15" ht="31.25" customHeight="1" x14ac:dyDescent="0.45">
      <c r="A58" s="3" t="s">
        <v>218</v>
      </c>
      <c r="B58" s="17">
        <v>42132</v>
      </c>
      <c r="C58" s="17">
        <v>42163</v>
      </c>
      <c r="D58" s="1" t="s">
        <v>219</v>
      </c>
      <c r="E58" s="1" t="s">
        <v>15</v>
      </c>
      <c r="F58" s="1" t="s">
        <v>16</v>
      </c>
      <c r="G58" s="1" t="s">
        <v>45</v>
      </c>
      <c r="H58" s="1" t="s">
        <v>34</v>
      </c>
      <c r="I58" s="1">
        <v>4191.5069999999996</v>
      </c>
      <c r="J58" s="1">
        <v>9</v>
      </c>
      <c r="K58" s="1">
        <v>0.1</v>
      </c>
      <c r="L58" s="1">
        <v>1164.2670000000001</v>
      </c>
      <c r="M58" s="4" t="str">
        <f t="shared" si="1"/>
        <v>High</v>
      </c>
      <c r="N58" s="12">
        <f>IF(ISBLANK(I58),AVERAGEIF(Table4[Category],G58,Table4[Sales]),I58)</f>
        <v>4191.5069999999996</v>
      </c>
      <c r="O58" s="12">
        <f>IF(ISBLANK(L58),AVERAGEIF(Table4[Order Priority],M58,Table4[Profit]),L58)</f>
        <v>1164.2670000000001</v>
      </c>
    </row>
    <row r="59" spans="1:15" ht="31.25" customHeight="1" x14ac:dyDescent="0.45">
      <c r="A59" s="3" t="s">
        <v>148</v>
      </c>
      <c r="B59" s="17">
        <v>41248</v>
      </c>
      <c r="C59" s="17" t="s">
        <v>220</v>
      </c>
      <c r="D59" s="1" t="s">
        <v>119</v>
      </c>
      <c r="E59" s="1" t="s">
        <v>40</v>
      </c>
      <c r="F59" s="1" t="s">
        <v>43</v>
      </c>
      <c r="G59" s="1" t="s">
        <v>198</v>
      </c>
      <c r="H59" s="1" t="s">
        <v>44</v>
      </c>
      <c r="I59" s="1">
        <v>8</v>
      </c>
      <c r="J59" s="1">
        <v>2</v>
      </c>
      <c r="K59" s="1">
        <v>0</v>
      </c>
      <c r="L59" s="1">
        <v>3.84</v>
      </c>
      <c r="M59" s="4" t="str">
        <f t="shared" si="1"/>
        <v>Low</v>
      </c>
      <c r="N59" s="12">
        <f>IF(ISBLANK(I59),AVERAGEIF(Table4[Category],G59,Table4[Sales]),I59)</f>
        <v>8</v>
      </c>
      <c r="O59" s="12">
        <f>IF(ISBLANK(L59),AVERAGEIF(Table4[Order Priority],M59,Table4[Profit]),L59)</f>
        <v>3.84</v>
      </c>
    </row>
    <row r="60" spans="1:15" ht="31.25" customHeight="1" x14ac:dyDescent="0.45">
      <c r="A60" s="3" t="s">
        <v>221</v>
      </c>
      <c r="B60" s="17">
        <v>42311</v>
      </c>
      <c r="C60" s="17" t="s">
        <v>144</v>
      </c>
      <c r="D60" s="1" t="s">
        <v>222</v>
      </c>
      <c r="E60" s="1" t="s">
        <v>223</v>
      </c>
      <c r="F60" s="1" t="s">
        <v>51</v>
      </c>
      <c r="G60" s="1" t="s">
        <v>224</v>
      </c>
      <c r="H60" s="1" t="s">
        <v>75</v>
      </c>
      <c r="I60" s="1">
        <v>3063.27</v>
      </c>
      <c r="J60" s="1">
        <v>7</v>
      </c>
      <c r="K60" s="1">
        <v>0</v>
      </c>
      <c r="L60" s="1">
        <v>581.91</v>
      </c>
      <c r="M60" s="4" t="str">
        <f t="shared" si="1"/>
        <v>Medium</v>
      </c>
      <c r="N60" s="13">
        <f>IF(ISBLANK(I60),AVERAGEIF(Table4[Category],G60,Table4[Sales]),I60)</f>
        <v>3063.27</v>
      </c>
      <c r="O60" s="13">
        <f>IF(ISBLANK(L60),AVERAGEIF(Table4[Order Priority],M60,Table4[Profit]),L60)</f>
        <v>581.91</v>
      </c>
    </row>
    <row r="61" spans="1:15" ht="31.25" customHeight="1" x14ac:dyDescent="0.45">
      <c r="A61" s="3" t="s">
        <v>225</v>
      </c>
      <c r="B61" s="17" t="s">
        <v>226</v>
      </c>
      <c r="C61" s="17" t="s">
        <v>227</v>
      </c>
      <c r="D61" s="1" t="s">
        <v>119</v>
      </c>
      <c r="E61" s="1" t="s">
        <v>40</v>
      </c>
      <c r="F61" s="1" t="s">
        <v>120</v>
      </c>
      <c r="G61" s="1" t="s">
        <v>45</v>
      </c>
      <c r="H61" s="1" t="s">
        <v>27</v>
      </c>
      <c r="I61" s="1">
        <v>18.704000000000001</v>
      </c>
      <c r="J61" s="1">
        <v>7</v>
      </c>
      <c r="K61" s="1">
        <v>0.2</v>
      </c>
      <c r="L61" s="1">
        <v>2.3380000000000001</v>
      </c>
      <c r="M61" s="4" t="str">
        <f t="shared" si="1"/>
        <v>Low</v>
      </c>
      <c r="N61" s="12">
        <f>IF(ISBLANK(I61),AVERAGEIF(Table4[Category],G61,Table4[Sales]),I61)</f>
        <v>18.704000000000001</v>
      </c>
      <c r="O61" s="12">
        <f>IF(ISBLANK(L61),AVERAGEIF(Table4[Order Priority],M61,Table4[Profit]),L61)</f>
        <v>2.3380000000000001</v>
      </c>
    </row>
    <row r="62" spans="1:15" ht="31.25" customHeight="1" x14ac:dyDescent="0.45">
      <c r="A62" s="3" t="s">
        <v>228</v>
      </c>
      <c r="B62" s="17">
        <v>42316</v>
      </c>
      <c r="C62" s="17" t="s">
        <v>229</v>
      </c>
      <c r="D62" s="1" t="s">
        <v>230</v>
      </c>
      <c r="E62" s="1" t="s">
        <v>23</v>
      </c>
      <c r="F62" s="1" t="s">
        <v>71</v>
      </c>
      <c r="G62" s="1" t="s">
        <v>17</v>
      </c>
      <c r="H62" s="1" t="s">
        <v>178</v>
      </c>
      <c r="I62" s="1">
        <v>4473</v>
      </c>
      <c r="J62" s="1">
        <v>7</v>
      </c>
      <c r="K62" s="1">
        <v>0</v>
      </c>
      <c r="L62" s="1">
        <v>313.11</v>
      </c>
      <c r="M62" s="4" t="str">
        <f t="shared" si="1"/>
        <v>Low</v>
      </c>
      <c r="N62" s="12">
        <f>IF(ISBLANK(I62),AVERAGEIF(Table4[Category],G62,Table4[Sales]),I62)</f>
        <v>4473</v>
      </c>
      <c r="O62" s="12">
        <f>IF(ISBLANK(L62),AVERAGEIF(Table4[Order Priority],M62,Table4[Profit]),L62)</f>
        <v>313.11</v>
      </c>
    </row>
    <row r="63" spans="1:15" ht="31.25" customHeight="1" x14ac:dyDescent="0.45">
      <c r="A63" s="3" t="s">
        <v>231</v>
      </c>
      <c r="B63" s="17" t="s">
        <v>232</v>
      </c>
      <c r="C63" s="17">
        <v>41707</v>
      </c>
      <c r="D63" s="1" t="s">
        <v>233</v>
      </c>
      <c r="E63" s="1" t="s">
        <v>23</v>
      </c>
      <c r="F63" s="1" t="s">
        <v>71</v>
      </c>
      <c r="G63" s="1" t="s">
        <v>17</v>
      </c>
      <c r="H63" s="1" t="s">
        <v>140</v>
      </c>
      <c r="I63" s="1">
        <v>1502.01</v>
      </c>
      <c r="J63" s="1">
        <v>9</v>
      </c>
      <c r="K63" s="1">
        <v>0</v>
      </c>
      <c r="L63" s="1">
        <v>225.18</v>
      </c>
      <c r="M63" s="4" t="str">
        <f t="shared" si="1"/>
        <v>Low</v>
      </c>
      <c r="N63" s="13">
        <f>IF(ISBLANK(I63),AVERAGEIF(Table4[Category],G63,Table4[Sales]),I63)</f>
        <v>1502.01</v>
      </c>
      <c r="O63" s="13">
        <f>IF(ISBLANK(L63),AVERAGEIF(Table4[Order Priority],M63,Table4[Profit]),L63)</f>
        <v>225.18</v>
      </c>
    </row>
    <row r="64" spans="1:15" ht="31.25" customHeight="1" x14ac:dyDescent="0.45">
      <c r="A64" s="3" t="s">
        <v>234</v>
      </c>
      <c r="B64" s="17" t="s">
        <v>154</v>
      </c>
      <c r="C64" s="17" t="s">
        <v>235</v>
      </c>
      <c r="D64" s="1" t="s">
        <v>236</v>
      </c>
      <c r="E64" s="1" t="s">
        <v>65</v>
      </c>
      <c r="F64" s="1" t="s">
        <v>93</v>
      </c>
      <c r="G64" s="1" t="s">
        <v>33</v>
      </c>
      <c r="H64" s="1" t="s">
        <v>27</v>
      </c>
      <c r="I64" s="1">
        <v>5049</v>
      </c>
      <c r="J64" s="1">
        <v>11</v>
      </c>
      <c r="K64" s="1">
        <v>0</v>
      </c>
      <c r="L64" s="1">
        <v>3799.5593480000002</v>
      </c>
      <c r="M64" s="4" t="str">
        <f t="shared" si="1"/>
        <v>High</v>
      </c>
      <c r="N64" s="12">
        <f>IF(ISBLANK(I64),AVERAGEIF(Table4[Category],G64,Table4[Sales]),I64)</f>
        <v>5049</v>
      </c>
      <c r="O64" s="12">
        <f>IF(ISBLANK(L64),AVERAGEIF(Table4[Order Priority],M64,Table4[Profit]),L64)</f>
        <v>3799.5593480000002</v>
      </c>
    </row>
    <row r="65" spans="1:15" ht="31.25" customHeight="1" x14ac:dyDescent="0.45">
      <c r="A65" s="3" t="s">
        <v>237</v>
      </c>
      <c r="B65" s="17">
        <v>42064</v>
      </c>
      <c r="C65" s="17" t="s">
        <v>144</v>
      </c>
      <c r="D65" s="1" t="s">
        <v>238</v>
      </c>
      <c r="E65" s="1" t="s">
        <v>40</v>
      </c>
      <c r="F65" s="1" t="s">
        <v>182</v>
      </c>
      <c r="G65" s="1" t="s">
        <v>17</v>
      </c>
      <c r="H65" s="1" t="s">
        <v>27</v>
      </c>
      <c r="I65" s="1">
        <v>695.7</v>
      </c>
      <c r="J65" s="1">
        <v>5</v>
      </c>
      <c r="K65" s="1">
        <v>0</v>
      </c>
      <c r="L65" s="1">
        <v>-27.827999999999999</v>
      </c>
      <c r="M65" s="4" t="str">
        <f t="shared" si="1"/>
        <v>Critical</v>
      </c>
      <c r="N65" s="12">
        <f>IF(ISBLANK(I65),AVERAGEIF(Table4[Category],G65,Table4[Sales]),I65)</f>
        <v>695.7</v>
      </c>
      <c r="O65" s="12">
        <f>IF(ISBLANK(L65),AVERAGEIF(Table4[Order Priority],M65,Table4[Profit]),L65)</f>
        <v>-27.827999999999999</v>
      </c>
    </row>
    <row r="66" spans="1:15" ht="31.25" customHeight="1" x14ac:dyDescent="0.45">
      <c r="A66" s="3" t="s">
        <v>239</v>
      </c>
      <c r="B66" s="17">
        <v>42197</v>
      </c>
      <c r="C66" s="17">
        <v>42346</v>
      </c>
      <c r="D66" s="1" t="s">
        <v>240</v>
      </c>
      <c r="E66" s="1" t="s">
        <v>241</v>
      </c>
      <c r="F66" s="1" t="s">
        <v>79</v>
      </c>
      <c r="G66" s="1" t="s">
        <v>33</v>
      </c>
      <c r="H66" s="1" t="s">
        <v>24</v>
      </c>
      <c r="I66" s="1">
        <v>2188.0500000000002</v>
      </c>
      <c r="J66" s="1">
        <v>5</v>
      </c>
      <c r="K66" s="1">
        <v>0</v>
      </c>
      <c r="L66" s="1">
        <v>1050.1500000000001</v>
      </c>
      <c r="M66" s="4" t="str">
        <f t="shared" ref="M66:M97" si="2">IF(L66&gt;1000,"High",IF(L66&gt;=500,"Medium",IF(L66&lt;=0,"Critical","Low")))</f>
        <v>High</v>
      </c>
      <c r="N66" s="13">
        <f>IF(ISBLANK(I66),AVERAGEIF(Table4[Category],G66,Table4[Sales]),I66)</f>
        <v>2188.0500000000002</v>
      </c>
      <c r="O66" s="13">
        <f>IF(ISBLANK(L66),AVERAGEIF(Table4[Order Priority],M66,Table4[Profit]),L66)</f>
        <v>1050.1500000000001</v>
      </c>
    </row>
    <row r="67" spans="1:15" ht="31.25" customHeight="1" x14ac:dyDescent="0.45">
      <c r="A67" s="7" t="s">
        <v>242</v>
      </c>
      <c r="B67" s="17" t="s">
        <v>294</v>
      </c>
      <c r="C67" s="17" t="s">
        <v>226</v>
      </c>
      <c r="D67" s="1" t="s">
        <v>243</v>
      </c>
      <c r="E67" s="1" t="s">
        <v>124</v>
      </c>
      <c r="F67" s="1" t="s">
        <v>51</v>
      </c>
      <c r="G67" s="1" t="s">
        <v>33</v>
      </c>
      <c r="H67" s="1" t="s">
        <v>75</v>
      </c>
      <c r="I67" s="1">
        <v>1920.36</v>
      </c>
      <c r="J67" s="1">
        <v>4</v>
      </c>
      <c r="K67" s="1">
        <v>0</v>
      </c>
      <c r="L67" s="1">
        <v>652.91999999999996</v>
      </c>
      <c r="M67" s="4" t="str">
        <f t="shared" si="2"/>
        <v>Medium</v>
      </c>
      <c r="N67" s="12">
        <f>IF(ISBLANK(I67),AVERAGEIF(Table4[Category],G67,Table4[Sales]),I67)</f>
        <v>1920.36</v>
      </c>
      <c r="O67" s="12">
        <f>IF(ISBLANK(L67),AVERAGEIF(Table4[Order Priority],M67,Table4[Profit]),L67)</f>
        <v>652.91999999999996</v>
      </c>
    </row>
    <row r="68" spans="1:15" ht="31.25" customHeight="1" x14ac:dyDescent="0.45">
      <c r="A68" s="3" t="s">
        <v>244</v>
      </c>
      <c r="B68" s="17" t="s">
        <v>245</v>
      </c>
      <c r="C68" s="17" t="s">
        <v>245</v>
      </c>
      <c r="D68" s="1" t="s">
        <v>246</v>
      </c>
      <c r="E68" s="1" t="s">
        <v>101</v>
      </c>
      <c r="F68" s="1" t="s">
        <v>102</v>
      </c>
      <c r="G68" s="1" t="s">
        <v>17</v>
      </c>
      <c r="H68" s="1" t="s">
        <v>178</v>
      </c>
      <c r="I68" s="1">
        <v>1704</v>
      </c>
      <c r="J68" s="1">
        <v>4</v>
      </c>
      <c r="K68" s="1">
        <v>0</v>
      </c>
      <c r="L68" s="1">
        <v>119.28</v>
      </c>
      <c r="M68" s="4" t="str">
        <f t="shared" si="2"/>
        <v>Low</v>
      </c>
      <c r="N68" s="12">
        <f>IF(ISBLANK(I68),AVERAGEIF(Table4[Category],G68,Table4[Sales]),I68)</f>
        <v>1704</v>
      </c>
      <c r="O68" s="12">
        <f>IF(ISBLANK(L68),AVERAGEIF(Table4[Order Priority],M68,Table4[Profit]),L68)</f>
        <v>119.28</v>
      </c>
    </row>
    <row r="69" spans="1:15" ht="31.25" customHeight="1" x14ac:dyDescent="0.45">
      <c r="A69" s="3" t="s">
        <v>247</v>
      </c>
      <c r="B69" s="17">
        <v>41132</v>
      </c>
      <c r="C69" s="17">
        <v>41193</v>
      </c>
      <c r="D69" s="1" t="s">
        <v>248</v>
      </c>
      <c r="E69" s="1" t="s">
        <v>249</v>
      </c>
      <c r="F69" s="1" t="s">
        <v>250</v>
      </c>
      <c r="G69" s="1" t="s">
        <v>33</v>
      </c>
      <c r="H69" s="1" t="s">
        <v>44</v>
      </c>
      <c r="I69" s="1">
        <v>1858.68</v>
      </c>
      <c r="J69" s="1">
        <v>4</v>
      </c>
      <c r="K69" s="1">
        <v>0</v>
      </c>
      <c r="L69" s="1"/>
      <c r="M69" s="4" t="str">
        <f t="shared" si="2"/>
        <v>Critical</v>
      </c>
      <c r="N69" s="13">
        <f>IF(ISBLANK(I69),AVERAGEIF(Table4[Category],G69,Table4[Sales]),I69)</f>
        <v>1858.68</v>
      </c>
      <c r="O69" s="13">
        <f>IF(ISBLANK(L69),AVERAGEIF(Table4[Order Priority],M69,Table4[Profit]),L69)</f>
        <v>-390.4273300000001</v>
      </c>
    </row>
    <row r="70" spans="1:15" ht="31.25" customHeight="1" x14ac:dyDescent="0.45">
      <c r="A70" s="3" t="s">
        <v>251</v>
      </c>
      <c r="B70" s="17">
        <v>41797</v>
      </c>
      <c r="C70" s="17">
        <v>41888</v>
      </c>
      <c r="D70" s="1" t="s">
        <v>252</v>
      </c>
      <c r="E70" s="1" t="s">
        <v>253</v>
      </c>
      <c r="F70" s="1" t="s">
        <v>93</v>
      </c>
      <c r="G70" s="1" t="s">
        <v>33</v>
      </c>
      <c r="H70" s="1" t="s">
        <v>27</v>
      </c>
      <c r="I70" s="1">
        <v>3298.26</v>
      </c>
      <c r="J70" s="1">
        <v>7</v>
      </c>
      <c r="K70" s="1">
        <v>0</v>
      </c>
      <c r="L70" s="1">
        <v>1055.25</v>
      </c>
      <c r="M70" s="4" t="str">
        <f t="shared" si="2"/>
        <v>High</v>
      </c>
      <c r="N70" s="12">
        <f>IF(ISBLANK(I70),AVERAGEIF(Table4[Category],G70,Table4[Sales]),I70)</f>
        <v>3298.26</v>
      </c>
      <c r="O70" s="12">
        <f>IF(ISBLANK(L70),AVERAGEIF(Table4[Order Priority],M70,Table4[Profit]),L70)</f>
        <v>1055.25</v>
      </c>
    </row>
    <row r="71" spans="1:15" ht="31.25" customHeight="1" x14ac:dyDescent="0.45">
      <c r="A71" s="3" t="s">
        <v>254</v>
      </c>
      <c r="B71" s="17" t="s">
        <v>255</v>
      </c>
      <c r="C71" s="17" t="s">
        <v>256</v>
      </c>
      <c r="D71" s="1" t="s">
        <v>257</v>
      </c>
      <c r="E71" s="1" t="s">
        <v>258</v>
      </c>
      <c r="F71" s="1" t="s">
        <v>102</v>
      </c>
      <c r="G71" s="1" t="s">
        <v>45</v>
      </c>
      <c r="H71" s="1" t="s">
        <v>44</v>
      </c>
      <c r="I71" s="1">
        <v>2443.48</v>
      </c>
      <c r="J71" s="1">
        <v>13</v>
      </c>
      <c r="K71" s="1">
        <v>0</v>
      </c>
      <c r="L71" s="1">
        <v>121.94</v>
      </c>
      <c r="M71" s="4" t="str">
        <f t="shared" si="2"/>
        <v>Low</v>
      </c>
      <c r="N71" s="12">
        <f>IF(ISBLANK(I71),AVERAGEIF(Table4[Category],G71,Table4[Sales]),I71)</f>
        <v>2443.48</v>
      </c>
      <c r="O71" s="12">
        <f>IF(ISBLANK(L71),AVERAGEIF(Table4[Order Priority],M71,Table4[Profit]),L71)</f>
        <v>121.94</v>
      </c>
    </row>
    <row r="72" spans="1:15" ht="31.25" customHeight="1" x14ac:dyDescent="0.45">
      <c r="A72" s="3" t="s">
        <v>259</v>
      </c>
      <c r="B72" s="17" t="s">
        <v>260</v>
      </c>
      <c r="C72" s="17" t="s">
        <v>261</v>
      </c>
      <c r="D72" s="1" t="s">
        <v>262</v>
      </c>
      <c r="E72" s="1" t="s">
        <v>145</v>
      </c>
      <c r="F72" s="1" t="s">
        <v>146</v>
      </c>
      <c r="G72" s="1" t="s">
        <v>33</v>
      </c>
      <c r="H72" s="1" t="s">
        <v>24</v>
      </c>
      <c r="I72" s="1"/>
      <c r="J72" s="1">
        <v>8</v>
      </c>
      <c r="K72" s="1">
        <v>0</v>
      </c>
      <c r="L72" s="1">
        <v>1523.52</v>
      </c>
      <c r="M72" s="4" t="str">
        <f t="shared" si="2"/>
        <v>High</v>
      </c>
      <c r="N72" s="13">
        <f>IF(ISBLANK(I72),AVERAGEIF(Table4[Category],G72,Table4[Sales]),I72)</f>
        <v>2398.8796666666672</v>
      </c>
      <c r="O72" s="13">
        <f>IF(ISBLANK(L72),AVERAGEIF(Table4[Order Priority],M72,Table4[Profit]),L72)</f>
        <v>1523.52</v>
      </c>
    </row>
    <row r="73" spans="1:15" ht="31.25" customHeight="1" x14ac:dyDescent="0.45">
      <c r="A73" s="3" t="s">
        <v>263</v>
      </c>
      <c r="B73" s="17" t="s">
        <v>264</v>
      </c>
      <c r="C73" s="17" t="s">
        <v>265</v>
      </c>
      <c r="D73" s="1" t="s">
        <v>266</v>
      </c>
      <c r="E73" s="1" t="s">
        <v>161</v>
      </c>
      <c r="F73" s="1" t="s">
        <v>162</v>
      </c>
      <c r="G73" s="1" t="s">
        <v>33</v>
      </c>
      <c r="H73" s="1" t="s">
        <v>75</v>
      </c>
      <c r="I73" s="1">
        <v>3427.1496000000002</v>
      </c>
      <c r="J73" s="1">
        <v>7</v>
      </c>
      <c r="K73" s="1">
        <v>0</v>
      </c>
      <c r="L73" s="1">
        <v>-452.81040000000002</v>
      </c>
      <c r="M73" s="4" t="str">
        <f t="shared" si="2"/>
        <v>Critical</v>
      </c>
      <c r="N73" s="12">
        <f>IF(ISBLANK(I73),AVERAGEIF(Table4[Category],G73,Table4[Sales]),I73)</f>
        <v>3427.1496000000002</v>
      </c>
      <c r="O73" s="12">
        <f>IF(ISBLANK(L73),AVERAGEIF(Table4[Order Priority],M73,Table4[Profit]),L73)</f>
        <v>-452.81040000000002</v>
      </c>
    </row>
    <row r="74" spans="1:15" ht="31.25" customHeight="1" x14ac:dyDescent="0.45">
      <c r="A74" s="3" t="s">
        <v>267</v>
      </c>
      <c r="B74" s="17" t="s">
        <v>268</v>
      </c>
      <c r="C74" s="17" t="s">
        <v>269</v>
      </c>
      <c r="D74" s="1" t="s">
        <v>270</v>
      </c>
      <c r="E74" s="2" t="s">
        <v>97</v>
      </c>
      <c r="F74" s="1" t="s">
        <v>477</v>
      </c>
      <c r="G74" s="1" t="s">
        <v>17</v>
      </c>
      <c r="H74" s="1" t="s">
        <v>24</v>
      </c>
      <c r="I74" s="1">
        <v>3441.69</v>
      </c>
      <c r="J74" s="1">
        <v>5</v>
      </c>
      <c r="K74" s="1">
        <v>0.1</v>
      </c>
      <c r="L74" s="1">
        <v>38.07</v>
      </c>
      <c r="M74" s="4" t="str">
        <f t="shared" si="2"/>
        <v>Low</v>
      </c>
      <c r="N74" s="12">
        <f>IF(ISBLANK(I74),AVERAGEIF(Table4[Category],G74,Table4[Sales]),I74)</f>
        <v>3441.69</v>
      </c>
      <c r="O74" s="12">
        <f>IF(ISBLANK(L74),AVERAGEIF(Table4[Order Priority],M74,Table4[Profit]),L74)</f>
        <v>38.07</v>
      </c>
    </row>
    <row r="75" spans="1:15" ht="31.25" customHeight="1" x14ac:dyDescent="0.45">
      <c r="A75" s="3" t="s">
        <v>271</v>
      </c>
      <c r="B75" s="17" t="s">
        <v>272</v>
      </c>
      <c r="C75" s="17" t="s">
        <v>273</v>
      </c>
      <c r="D75" s="1" t="s">
        <v>193</v>
      </c>
      <c r="E75" s="1" t="s">
        <v>15</v>
      </c>
      <c r="F75" s="1" t="s">
        <v>16</v>
      </c>
      <c r="G75" s="1" t="s">
        <v>17</v>
      </c>
      <c r="H75" s="1" t="s">
        <v>44</v>
      </c>
      <c r="I75" s="1">
        <v>2863.35</v>
      </c>
      <c r="J75" s="1">
        <v>5</v>
      </c>
      <c r="K75" s="1">
        <v>0.1</v>
      </c>
      <c r="L75" s="1">
        <v>858.9</v>
      </c>
      <c r="M75" s="4" t="str">
        <f t="shared" si="2"/>
        <v>Medium</v>
      </c>
      <c r="N75" s="13">
        <f>IF(ISBLANK(I75),AVERAGEIF(Table4[Category],G75,Table4[Sales]),I75)</f>
        <v>2863.35</v>
      </c>
      <c r="O75" s="13">
        <f>IF(ISBLANK(L75),AVERAGEIF(Table4[Order Priority],M75,Table4[Profit]),L75)</f>
        <v>858.9</v>
      </c>
    </row>
    <row r="76" spans="1:15" ht="31.25" customHeight="1" x14ac:dyDescent="0.45">
      <c r="A76" s="3" t="s">
        <v>389</v>
      </c>
      <c r="B76" s="17">
        <v>42043</v>
      </c>
      <c r="C76" s="17">
        <v>42224</v>
      </c>
      <c r="D76" s="1" t="s">
        <v>238</v>
      </c>
      <c r="E76" s="1" t="s">
        <v>40</v>
      </c>
      <c r="F76" s="1" t="s">
        <v>41</v>
      </c>
      <c r="G76" s="1" t="s">
        <v>17</v>
      </c>
      <c r="H76" s="1" t="s">
        <v>27</v>
      </c>
      <c r="I76" s="1"/>
      <c r="J76" s="1">
        <v>3</v>
      </c>
      <c r="K76" s="1">
        <v>0.4</v>
      </c>
      <c r="L76" s="1">
        <v>-263.99669999999998</v>
      </c>
      <c r="M76" s="4" t="str">
        <f t="shared" si="2"/>
        <v>Critical</v>
      </c>
      <c r="N76" s="12">
        <f>IF(ISBLANK(I76),AVERAGEIF(Table4[Category],G76,Table4[Sales]),I76)</f>
        <v>2460.5932578461534</v>
      </c>
      <c r="O76" s="12">
        <f>IF(ISBLANK(L76),AVERAGEIF(Table4[Order Priority],M76,Table4[Profit]),L76)</f>
        <v>-263.99669999999998</v>
      </c>
    </row>
    <row r="77" spans="1:15" ht="31.25" customHeight="1" x14ac:dyDescent="0.45">
      <c r="A77" s="3" t="s">
        <v>274</v>
      </c>
      <c r="B77" s="17" t="s">
        <v>275</v>
      </c>
      <c r="C77" s="17" t="s">
        <v>276</v>
      </c>
      <c r="D77" s="2" t="s">
        <v>277</v>
      </c>
      <c r="E77" s="1" t="s">
        <v>40</v>
      </c>
      <c r="F77" s="1" t="s">
        <v>71</v>
      </c>
      <c r="G77" s="1" t="s">
        <v>278</v>
      </c>
      <c r="H77" s="1" t="s">
        <v>27</v>
      </c>
      <c r="I77" s="1">
        <v>1487.4</v>
      </c>
      <c r="J77" s="1">
        <v>10</v>
      </c>
      <c r="K77" s="1">
        <v>0</v>
      </c>
      <c r="L77" s="1">
        <v>728.7</v>
      </c>
      <c r="M77" s="4" t="str">
        <f t="shared" si="2"/>
        <v>Medium</v>
      </c>
      <c r="N77" s="12">
        <f>IF(ISBLANK(I77),AVERAGEIF(Table4[Category],G77,Table4[Sales]),I77)</f>
        <v>1487.4</v>
      </c>
      <c r="O77" s="12">
        <f>IF(ISBLANK(L77),AVERAGEIF(Table4[Order Priority],M77,Table4[Profit]),L77)</f>
        <v>728.7</v>
      </c>
    </row>
    <row r="78" spans="1:15" ht="31.25" customHeight="1" x14ac:dyDescent="0.45">
      <c r="A78" s="3" t="s">
        <v>279</v>
      </c>
      <c r="B78" s="17">
        <v>41132</v>
      </c>
      <c r="C78" s="17">
        <v>41193</v>
      </c>
      <c r="D78" s="1" t="s">
        <v>280</v>
      </c>
      <c r="E78" s="1" t="s">
        <v>65</v>
      </c>
      <c r="F78" s="1" t="s">
        <v>93</v>
      </c>
      <c r="G78" s="1" t="s">
        <v>17</v>
      </c>
      <c r="H78" s="1" t="s">
        <v>46</v>
      </c>
      <c r="I78" s="1">
        <v>3200.04</v>
      </c>
      <c r="J78" s="1">
        <v>9</v>
      </c>
      <c r="K78" s="1">
        <v>0</v>
      </c>
      <c r="L78" s="1">
        <v>1183.95</v>
      </c>
      <c r="M78" s="4" t="str">
        <f t="shared" si="2"/>
        <v>High</v>
      </c>
      <c r="N78" s="13">
        <f>IF(ISBLANK(I78),AVERAGEIF(Table4[Category],G78,Table4[Sales]),I78)</f>
        <v>3200.04</v>
      </c>
      <c r="O78" s="13">
        <f>IF(ISBLANK(L78),AVERAGEIF(Table4[Order Priority],M78,Table4[Profit]),L78)</f>
        <v>1183.95</v>
      </c>
    </row>
    <row r="79" spans="1:15" ht="31.25" customHeight="1" x14ac:dyDescent="0.45">
      <c r="A79" s="3" t="s">
        <v>281</v>
      </c>
      <c r="B79" s="17" t="s">
        <v>197</v>
      </c>
      <c r="C79" s="17" t="s">
        <v>197</v>
      </c>
      <c r="D79" s="1" t="s">
        <v>282</v>
      </c>
      <c r="E79" s="1" t="s">
        <v>124</v>
      </c>
      <c r="F79" s="2" t="s">
        <v>51</v>
      </c>
      <c r="G79" s="1" t="s">
        <v>17</v>
      </c>
      <c r="H79" s="1" t="s">
        <v>34</v>
      </c>
      <c r="I79" s="1">
        <v>2301</v>
      </c>
      <c r="J79" s="1">
        <v>5</v>
      </c>
      <c r="K79" s="1">
        <v>0</v>
      </c>
      <c r="L79" s="1">
        <v>91.95</v>
      </c>
      <c r="M79" s="4" t="str">
        <f t="shared" si="2"/>
        <v>Low</v>
      </c>
      <c r="N79" s="12">
        <f>IF(ISBLANK(I79),AVERAGEIF(Table4[Category],G79,Table4[Sales]),I79)</f>
        <v>2301</v>
      </c>
      <c r="O79" s="12">
        <f>IF(ISBLANK(L79),AVERAGEIF(Table4[Order Priority],M79,Table4[Profit]),L79)</f>
        <v>91.95</v>
      </c>
    </row>
    <row r="80" spans="1:15" ht="31.25" customHeight="1" x14ac:dyDescent="0.45">
      <c r="A80" s="3" t="s">
        <v>389</v>
      </c>
      <c r="B80" s="17" t="s">
        <v>283</v>
      </c>
      <c r="C80" s="17" t="s">
        <v>284</v>
      </c>
      <c r="D80" s="1" t="s">
        <v>285</v>
      </c>
      <c r="E80" s="1" t="s">
        <v>70</v>
      </c>
      <c r="F80" s="1" t="s">
        <v>71</v>
      </c>
      <c r="G80" s="1" t="s">
        <v>33</v>
      </c>
      <c r="H80" s="1" t="s">
        <v>34</v>
      </c>
      <c r="I80" s="1">
        <v>5729.3459999999995</v>
      </c>
      <c r="J80" s="1">
        <v>14</v>
      </c>
      <c r="K80" s="1">
        <v>0.1</v>
      </c>
      <c r="L80" s="1">
        <v>63.545999999999999</v>
      </c>
      <c r="M80" s="4" t="str">
        <f t="shared" si="2"/>
        <v>Low</v>
      </c>
      <c r="N80" s="12">
        <f>IF(ISBLANK(I80),AVERAGEIF(Table4[Category],G80,Table4[Sales]),I80)</f>
        <v>5729.3459999999995</v>
      </c>
      <c r="O80" s="12">
        <f>IF(ISBLANK(L80),AVERAGEIF(Table4[Order Priority],M80,Table4[Profit]),L80)</f>
        <v>63.545999999999999</v>
      </c>
    </row>
    <row r="81" spans="1:15" ht="31.25" customHeight="1" x14ac:dyDescent="0.45">
      <c r="A81" s="3" t="s">
        <v>286</v>
      </c>
      <c r="B81" s="17" t="s">
        <v>287</v>
      </c>
      <c r="C81" s="17" t="s">
        <v>288</v>
      </c>
      <c r="D81" s="1" t="s">
        <v>139</v>
      </c>
      <c r="E81" s="1" t="s">
        <v>289</v>
      </c>
      <c r="F81" s="1" t="s">
        <v>290</v>
      </c>
      <c r="G81" s="1" t="s">
        <v>17</v>
      </c>
      <c r="H81" s="1" t="s">
        <v>24</v>
      </c>
      <c r="I81" s="1">
        <v>5301.24</v>
      </c>
      <c r="J81" s="1">
        <v>14</v>
      </c>
      <c r="K81" s="1">
        <v>0</v>
      </c>
      <c r="L81" s="1">
        <v>2597.2800000000002</v>
      </c>
      <c r="M81" s="4" t="str">
        <f t="shared" si="2"/>
        <v>High</v>
      </c>
      <c r="N81" s="13">
        <f>IF(ISBLANK(I81),AVERAGEIF(Table4[Category],G81,Table4[Sales]),I81)</f>
        <v>5301.24</v>
      </c>
      <c r="O81" s="13">
        <f>IF(ISBLANK(L81),AVERAGEIF(Table4[Order Priority],M81,Table4[Profit]),L81)</f>
        <v>2597.2800000000002</v>
      </c>
    </row>
    <row r="82" spans="1:15" ht="31.25" customHeight="1" x14ac:dyDescent="0.45">
      <c r="A82" s="3" t="s">
        <v>389</v>
      </c>
      <c r="B82" s="17" t="s">
        <v>291</v>
      </c>
      <c r="C82" s="17" t="s">
        <v>292</v>
      </c>
      <c r="D82" s="1" t="s">
        <v>238</v>
      </c>
      <c r="E82" s="1" t="s">
        <v>40</v>
      </c>
      <c r="F82" s="1" t="s">
        <v>43</v>
      </c>
      <c r="G82" s="1" t="s">
        <v>33</v>
      </c>
      <c r="H82" s="1" t="s">
        <v>24</v>
      </c>
      <c r="I82" s="1">
        <v>477.666</v>
      </c>
      <c r="J82" s="1">
        <v>2</v>
      </c>
      <c r="K82" s="1">
        <v>0.15</v>
      </c>
      <c r="L82" s="1">
        <v>84.293999999999997</v>
      </c>
      <c r="M82" s="4" t="str">
        <f t="shared" si="2"/>
        <v>Low</v>
      </c>
      <c r="N82" s="12">
        <f>IF(ISBLANK(I82),AVERAGEIF(Table4[Category],G82,Table4[Sales]),I82)</f>
        <v>477.666</v>
      </c>
      <c r="O82" s="12">
        <f>IF(ISBLANK(L82),AVERAGEIF(Table4[Order Priority],M82,Table4[Profit]),L82)</f>
        <v>84.293999999999997</v>
      </c>
    </row>
    <row r="83" spans="1:15" ht="31.25" customHeight="1" x14ac:dyDescent="0.45">
      <c r="A83" s="3" t="s">
        <v>293</v>
      </c>
      <c r="B83" s="17">
        <v>42133</v>
      </c>
      <c r="C83" s="17">
        <v>42164</v>
      </c>
      <c r="D83" s="1" t="s">
        <v>238</v>
      </c>
      <c r="E83" s="1" t="s">
        <v>40</v>
      </c>
      <c r="F83" s="1" t="s">
        <v>43</v>
      </c>
      <c r="G83" s="1" t="s">
        <v>45</v>
      </c>
      <c r="H83" s="1" t="s">
        <v>34</v>
      </c>
      <c r="I83" s="1">
        <v>88.073999999999998</v>
      </c>
      <c r="J83" s="1">
        <v>7</v>
      </c>
      <c r="K83" s="1">
        <v>0.7</v>
      </c>
      <c r="L83" s="1">
        <v>-58.716000000000001</v>
      </c>
      <c r="M83" s="4" t="str">
        <f t="shared" si="2"/>
        <v>Critical</v>
      </c>
      <c r="N83" s="12">
        <f>IF(ISBLANK(I83),AVERAGEIF(Table4[Category],G83,Table4[Sales]),I83)</f>
        <v>88.073999999999998</v>
      </c>
      <c r="O83" s="12">
        <f>IF(ISBLANK(L83),AVERAGEIF(Table4[Order Priority],M83,Table4[Profit]),L83)</f>
        <v>-58.716000000000001</v>
      </c>
    </row>
    <row r="84" spans="1:15" ht="31.25" customHeight="1" x14ac:dyDescent="0.45">
      <c r="A84" s="3" t="s">
        <v>389</v>
      </c>
      <c r="B84" s="17" t="s">
        <v>294</v>
      </c>
      <c r="C84" s="17">
        <v>41761</v>
      </c>
      <c r="D84" s="1" t="s">
        <v>160</v>
      </c>
      <c r="E84" s="1" t="s">
        <v>23</v>
      </c>
      <c r="F84" s="1" t="s">
        <v>71</v>
      </c>
      <c r="G84" s="1" t="s">
        <v>17</v>
      </c>
      <c r="H84" s="1" t="s">
        <v>46</v>
      </c>
      <c r="I84" s="1">
        <v>3219.9</v>
      </c>
      <c r="J84" s="1">
        <v>5</v>
      </c>
      <c r="K84" s="1">
        <v>0</v>
      </c>
      <c r="L84" s="1">
        <v>965.85</v>
      </c>
      <c r="M84" s="4" t="str">
        <f t="shared" si="2"/>
        <v>Medium</v>
      </c>
      <c r="N84" s="13">
        <f>IF(ISBLANK(I84),AVERAGEIF(Table4[Category],G84,Table4[Sales]),I84)</f>
        <v>3219.9</v>
      </c>
      <c r="O84" s="13">
        <f>IF(ISBLANK(L84),AVERAGEIF(Table4[Order Priority],M84,Table4[Profit]),L84)</f>
        <v>965.85</v>
      </c>
    </row>
    <row r="85" spans="1:15" ht="31.25" customHeight="1" x14ac:dyDescent="0.45">
      <c r="A85" s="3" t="s">
        <v>295</v>
      </c>
      <c r="B85" s="17" t="s">
        <v>296</v>
      </c>
      <c r="C85" s="17" t="s">
        <v>297</v>
      </c>
      <c r="D85" s="1" t="s">
        <v>298</v>
      </c>
      <c r="E85" s="1" t="s">
        <v>161</v>
      </c>
      <c r="F85" s="1" t="s">
        <v>162</v>
      </c>
      <c r="G85" s="1" t="s">
        <v>45</v>
      </c>
      <c r="H85" s="1" t="s">
        <v>24</v>
      </c>
      <c r="I85" s="1">
        <v>2487.8087999999998</v>
      </c>
      <c r="J85" s="1">
        <v>5</v>
      </c>
      <c r="K85" s="1">
        <v>0.17</v>
      </c>
      <c r="L85" s="1">
        <v>-269.7912</v>
      </c>
      <c r="M85" s="4" t="str">
        <f t="shared" si="2"/>
        <v>Critical</v>
      </c>
      <c r="N85" s="12">
        <f>IF(ISBLANK(I85),AVERAGEIF(Table4[Category],G85,Table4[Sales]),I85)</f>
        <v>2487.8087999999998</v>
      </c>
      <c r="O85" s="12">
        <f>IF(ISBLANK(L85),AVERAGEIF(Table4[Order Priority],M85,Table4[Profit]),L85)</f>
        <v>-269.7912</v>
      </c>
    </row>
    <row r="86" spans="1:15" ht="31.25" customHeight="1" x14ac:dyDescent="0.45">
      <c r="A86" s="3" t="s">
        <v>299</v>
      </c>
      <c r="B86" s="17" t="s">
        <v>300</v>
      </c>
      <c r="C86" s="17" t="s">
        <v>300</v>
      </c>
      <c r="D86" s="1" t="s">
        <v>301</v>
      </c>
      <c r="E86" s="1" t="s">
        <v>289</v>
      </c>
      <c r="F86" s="1" t="s">
        <v>290</v>
      </c>
      <c r="G86" s="1" t="s">
        <v>45</v>
      </c>
      <c r="H86" s="1" t="s">
        <v>27</v>
      </c>
      <c r="I86" s="1">
        <v>2266.44</v>
      </c>
      <c r="J86" s="1">
        <v>4</v>
      </c>
      <c r="K86" s="1">
        <v>0</v>
      </c>
      <c r="L86" s="1">
        <v>113.28</v>
      </c>
      <c r="M86" s="4" t="str">
        <f t="shared" si="2"/>
        <v>Low</v>
      </c>
      <c r="N86" s="12">
        <f>IF(ISBLANK(I86),AVERAGEIF(Table4[Category],G86,Table4[Sales]),I86)</f>
        <v>2266.44</v>
      </c>
      <c r="O86" s="12">
        <f>IF(ISBLANK(L86),AVERAGEIF(Table4[Order Priority],M86,Table4[Profit]),L86)</f>
        <v>113.28</v>
      </c>
    </row>
    <row r="87" spans="1:15" ht="31.25" customHeight="1" x14ac:dyDescent="0.45">
      <c r="A87" s="3" t="s">
        <v>389</v>
      </c>
      <c r="B87" s="17" t="s">
        <v>302</v>
      </c>
      <c r="C87" s="17" t="s">
        <v>302</v>
      </c>
      <c r="D87" s="1" t="s">
        <v>303</v>
      </c>
      <c r="E87" s="1" t="s">
        <v>15</v>
      </c>
      <c r="F87" s="1" t="s">
        <v>16</v>
      </c>
      <c r="G87" s="1" t="s">
        <v>17</v>
      </c>
      <c r="H87" s="1" t="s">
        <v>75</v>
      </c>
      <c r="I87" s="1">
        <v>3068.3609999999999</v>
      </c>
      <c r="J87" s="1">
        <v>5</v>
      </c>
      <c r="K87" s="1">
        <v>0.1</v>
      </c>
      <c r="L87" s="1">
        <v>1124.9010000000001</v>
      </c>
      <c r="M87" s="4" t="str">
        <f t="shared" si="2"/>
        <v>High</v>
      </c>
      <c r="N87" s="13">
        <f>IF(ISBLANK(I87),AVERAGEIF(Table4[Category],G87,Table4[Sales]),I87)</f>
        <v>3068.3609999999999</v>
      </c>
      <c r="O87" s="13">
        <f>IF(ISBLANK(L87),AVERAGEIF(Table4[Order Priority],M87,Table4[Profit]),L87)</f>
        <v>1124.9010000000001</v>
      </c>
    </row>
    <row r="88" spans="1:15" ht="31.25" customHeight="1" x14ac:dyDescent="0.45">
      <c r="A88" s="3" t="s">
        <v>304</v>
      </c>
      <c r="B88" s="17" t="s">
        <v>305</v>
      </c>
      <c r="C88" s="17" t="s">
        <v>306</v>
      </c>
      <c r="D88" s="1" t="s">
        <v>307</v>
      </c>
      <c r="E88" s="1" t="s">
        <v>223</v>
      </c>
      <c r="F88" s="1" t="s">
        <v>51</v>
      </c>
      <c r="G88" s="1" t="s">
        <v>33</v>
      </c>
      <c r="H88" s="1" t="s">
        <v>75</v>
      </c>
      <c r="I88" s="1">
        <v>3728.43</v>
      </c>
      <c r="J88" s="1">
        <v>9</v>
      </c>
      <c r="K88" s="1">
        <v>0</v>
      </c>
      <c r="L88" s="1">
        <v>1192.8599999999999</v>
      </c>
      <c r="M88" s="4" t="str">
        <f t="shared" si="2"/>
        <v>High</v>
      </c>
      <c r="N88" s="12">
        <f>IF(ISBLANK(I88),AVERAGEIF(Table4[Category],G88,Table4[Sales]),I88)</f>
        <v>3728.43</v>
      </c>
      <c r="O88" s="12">
        <f>IF(ISBLANK(L88),AVERAGEIF(Table4[Order Priority],M88,Table4[Profit]),L88)</f>
        <v>1192.8599999999999</v>
      </c>
    </row>
    <row r="89" spans="1:15" ht="31.25" customHeight="1" x14ac:dyDescent="0.45">
      <c r="A89" s="3" t="s">
        <v>389</v>
      </c>
      <c r="B89" s="17">
        <v>41985</v>
      </c>
      <c r="C89" s="17" t="s">
        <v>308</v>
      </c>
      <c r="D89" s="1" t="s">
        <v>476</v>
      </c>
      <c r="E89" s="1" t="s">
        <v>65</v>
      </c>
      <c r="F89" s="1" t="s">
        <v>93</v>
      </c>
      <c r="G89" s="1" t="s">
        <v>17</v>
      </c>
      <c r="H89" s="1" t="s">
        <v>34</v>
      </c>
      <c r="I89" s="1">
        <v>1581.48</v>
      </c>
      <c r="J89" s="1">
        <v>5</v>
      </c>
      <c r="K89" s="1">
        <v>0</v>
      </c>
      <c r="L89" s="1"/>
      <c r="M89" s="4" t="str">
        <f t="shared" si="2"/>
        <v>Critical</v>
      </c>
      <c r="N89" s="12">
        <f>IF(ISBLANK(I89),AVERAGEIF(Table4[Category],G89,Table4[Sales]),I89)</f>
        <v>1581.48</v>
      </c>
      <c r="O89" s="12">
        <f>IF(ISBLANK(L89),AVERAGEIF(Table4[Order Priority],M89,Table4[Profit]),L89)</f>
        <v>-390.4273300000001</v>
      </c>
    </row>
    <row r="90" spans="1:15" ht="31.25" customHeight="1" x14ac:dyDescent="0.45">
      <c r="A90" s="3" t="s">
        <v>309</v>
      </c>
      <c r="B90" s="17" t="s">
        <v>215</v>
      </c>
      <c r="C90" s="17" t="s">
        <v>216</v>
      </c>
      <c r="D90" s="1" t="s">
        <v>217</v>
      </c>
      <c r="E90" s="1" t="s">
        <v>124</v>
      </c>
      <c r="F90" s="1" t="s">
        <v>51</v>
      </c>
      <c r="G90" s="1" t="s">
        <v>17</v>
      </c>
      <c r="H90" s="1" t="s">
        <v>178</v>
      </c>
      <c r="I90" s="1">
        <v>1916.73</v>
      </c>
      <c r="J90" s="1">
        <v>3</v>
      </c>
      <c r="K90" s="1">
        <v>0</v>
      </c>
      <c r="L90" s="1">
        <v>498.33</v>
      </c>
      <c r="M90" s="4" t="str">
        <f t="shared" si="2"/>
        <v>Low</v>
      </c>
      <c r="N90" s="13">
        <f>IF(ISBLANK(I90),AVERAGEIF(Table4[Category],G90,Table4[Sales]),I90)</f>
        <v>1916.73</v>
      </c>
      <c r="O90" s="13">
        <f>IF(ISBLANK(L90),AVERAGEIF(Table4[Order Priority],M90,Table4[Profit]),L90)</f>
        <v>498.33</v>
      </c>
    </row>
    <row r="91" spans="1:15" ht="31.25" customHeight="1" x14ac:dyDescent="0.45">
      <c r="A91" s="3" t="s">
        <v>310</v>
      </c>
      <c r="B91" s="17">
        <v>42104</v>
      </c>
      <c r="C91" s="17">
        <v>42257</v>
      </c>
      <c r="D91" s="1" t="s">
        <v>238</v>
      </c>
      <c r="E91" s="1" t="s">
        <v>40</v>
      </c>
      <c r="F91" s="1" t="s">
        <v>311</v>
      </c>
      <c r="G91" s="1" t="s">
        <v>33</v>
      </c>
      <c r="H91" s="1" t="s">
        <v>34</v>
      </c>
      <c r="I91" s="1">
        <v>171.28800000000001</v>
      </c>
      <c r="J91" s="1">
        <v>3</v>
      </c>
      <c r="K91" s="1">
        <v>1.433999491</v>
      </c>
      <c r="L91" s="1">
        <v>-6.4233000000000002</v>
      </c>
      <c r="M91" s="4" t="str">
        <f t="shared" si="2"/>
        <v>Critical</v>
      </c>
      <c r="N91" s="12">
        <f>IF(ISBLANK(I91),AVERAGEIF(Table4[Category],G91,Table4[Sales]),I91)</f>
        <v>171.28800000000001</v>
      </c>
      <c r="O91" s="12">
        <f>IF(ISBLANK(L91),AVERAGEIF(Table4[Order Priority],M91,Table4[Profit]),L91)</f>
        <v>-6.4233000000000002</v>
      </c>
    </row>
    <row r="92" spans="1:15" ht="31.25" customHeight="1" x14ac:dyDescent="0.45">
      <c r="A92" s="3" t="s">
        <v>312</v>
      </c>
      <c r="B92" s="17">
        <v>41682</v>
      </c>
      <c r="C92" s="17">
        <v>41738</v>
      </c>
      <c r="D92" s="1" t="s">
        <v>313</v>
      </c>
      <c r="E92" s="1" t="s">
        <v>70</v>
      </c>
      <c r="F92" s="1" t="s">
        <v>71</v>
      </c>
      <c r="G92" s="1" t="s">
        <v>45</v>
      </c>
      <c r="H92" s="1" t="s">
        <v>27</v>
      </c>
      <c r="I92" s="1">
        <v>2432.16</v>
      </c>
      <c r="J92" s="1">
        <v>5</v>
      </c>
      <c r="K92" s="1">
        <v>0.1</v>
      </c>
      <c r="L92" s="1">
        <v>513.36</v>
      </c>
      <c r="M92" s="4" t="str">
        <f t="shared" si="2"/>
        <v>Medium</v>
      </c>
      <c r="N92" s="12">
        <f>IF(ISBLANK(I92),AVERAGEIF(Table4[Category],G92,Table4[Sales]),I92)</f>
        <v>2432.16</v>
      </c>
      <c r="O92" s="12">
        <f>IF(ISBLANK(L92),AVERAGEIF(Table4[Order Priority],M92,Table4[Profit]),L92)</f>
        <v>513.36</v>
      </c>
    </row>
    <row r="93" spans="1:15" ht="31.25" customHeight="1" x14ac:dyDescent="0.45">
      <c r="A93" s="7" t="s">
        <v>237</v>
      </c>
      <c r="B93" s="17" t="s">
        <v>294</v>
      </c>
      <c r="C93" s="17">
        <v>42125</v>
      </c>
      <c r="D93" s="1" t="s">
        <v>476</v>
      </c>
      <c r="E93" s="1" t="s">
        <v>40</v>
      </c>
      <c r="F93" s="1" t="s">
        <v>182</v>
      </c>
      <c r="G93" s="1" t="s">
        <v>45</v>
      </c>
      <c r="H93" s="1" t="s">
        <v>44</v>
      </c>
      <c r="I93" s="1">
        <v>28.853999999999999</v>
      </c>
      <c r="J93" s="1">
        <v>6</v>
      </c>
      <c r="K93" s="1">
        <v>0.7</v>
      </c>
      <c r="L93" s="1">
        <v>-21.159600000000001</v>
      </c>
      <c r="M93" s="4" t="str">
        <f t="shared" si="2"/>
        <v>Critical</v>
      </c>
      <c r="N93" s="13">
        <f>IF(ISBLANK(I93),AVERAGEIF(Table4[Category],G93,Table4[Sales]),I93)</f>
        <v>28.853999999999999</v>
      </c>
      <c r="O93" s="13">
        <f>IF(ISBLANK(L93),AVERAGEIF(Table4[Order Priority],M93,Table4[Profit]),L93)</f>
        <v>-21.159600000000001</v>
      </c>
    </row>
    <row r="94" spans="1:15" ht="31.25" customHeight="1" x14ac:dyDescent="0.45">
      <c r="A94" s="3" t="s">
        <v>314</v>
      </c>
      <c r="B94" s="17" t="s">
        <v>20</v>
      </c>
      <c r="C94" s="17" t="s">
        <v>21</v>
      </c>
      <c r="D94" s="1" t="s">
        <v>315</v>
      </c>
      <c r="E94" s="1" t="s">
        <v>316</v>
      </c>
      <c r="F94" s="1" t="s">
        <v>162</v>
      </c>
      <c r="G94" s="1" t="s">
        <v>33</v>
      </c>
      <c r="H94" s="1" t="s">
        <v>75</v>
      </c>
      <c r="I94" s="1"/>
      <c r="J94" s="1">
        <v>7</v>
      </c>
      <c r="K94" s="1">
        <v>0.25</v>
      </c>
      <c r="L94" s="1">
        <v>197</v>
      </c>
      <c r="M94" s="4" t="str">
        <f t="shared" si="2"/>
        <v>Low</v>
      </c>
      <c r="N94" s="12">
        <f>IF(ISBLANK(I94),AVERAGEIF(Table4[Category],G94,Table4[Sales]),I94)</f>
        <v>2398.8796666666672</v>
      </c>
      <c r="O94" s="12">
        <f>IF(ISBLANK(L94),AVERAGEIF(Table4[Order Priority],M94,Table4[Profit]),L94)</f>
        <v>197</v>
      </c>
    </row>
    <row r="95" spans="1:15" ht="31.25" customHeight="1" x14ac:dyDescent="0.45">
      <c r="A95" s="3" t="s">
        <v>317</v>
      </c>
      <c r="B95" s="17">
        <v>41460</v>
      </c>
      <c r="C95" s="17">
        <v>41460</v>
      </c>
      <c r="D95" s="2" t="s">
        <v>318</v>
      </c>
      <c r="E95" s="1" t="s">
        <v>40</v>
      </c>
      <c r="F95" s="1" t="s">
        <v>16</v>
      </c>
      <c r="G95" s="1" t="s">
        <v>319</v>
      </c>
      <c r="H95" s="1" t="s">
        <v>27</v>
      </c>
      <c r="I95" s="1">
        <v>1847.52</v>
      </c>
      <c r="J95" s="1">
        <v>2</v>
      </c>
      <c r="K95" s="1">
        <v>0</v>
      </c>
      <c r="L95" s="1">
        <v>738.96</v>
      </c>
      <c r="M95" s="4" t="str">
        <f t="shared" si="2"/>
        <v>Medium</v>
      </c>
      <c r="N95" s="12">
        <f>IF(ISBLANK(I95),AVERAGEIF(Table4[Category],G95,Table4[Sales]),I95)</f>
        <v>1847.52</v>
      </c>
      <c r="O95" s="12">
        <f>IF(ISBLANK(L95),AVERAGEIF(Table4[Order Priority],M95,Table4[Profit]),L95)</f>
        <v>738.96</v>
      </c>
    </row>
    <row r="96" spans="1:15" ht="31.25" customHeight="1" x14ac:dyDescent="0.45">
      <c r="A96" s="3" t="s">
        <v>389</v>
      </c>
      <c r="B96" s="17" t="s">
        <v>320</v>
      </c>
      <c r="C96" s="17" t="s">
        <v>321</v>
      </c>
      <c r="D96" s="1" t="s">
        <v>322</v>
      </c>
      <c r="E96" s="1" t="s">
        <v>323</v>
      </c>
      <c r="F96" s="1" t="s">
        <v>71</v>
      </c>
      <c r="G96" s="1" t="s">
        <v>33</v>
      </c>
      <c r="H96" s="1" t="s">
        <v>24</v>
      </c>
      <c r="I96" s="1">
        <v>2899.89</v>
      </c>
      <c r="J96" s="1">
        <v>7</v>
      </c>
      <c r="K96" s="1">
        <v>0</v>
      </c>
      <c r="L96" s="1">
        <v>927.78</v>
      </c>
      <c r="M96" s="4" t="str">
        <f t="shared" si="2"/>
        <v>Medium</v>
      </c>
      <c r="N96" s="13">
        <f>IF(ISBLANK(I96),AVERAGEIF(Table4[Category],G96,Table4[Sales]),I96)</f>
        <v>2899.89</v>
      </c>
      <c r="O96" s="13">
        <f>IF(ISBLANK(L96),AVERAGEIF(Table4[Order Priority],M96,Table4[Profit]),L96)</f>
        <v>927.78</v>
      </c>
    </row>
    <row r="97" spans="1:15" ht="31.25" customHeight="1" x14ac:dyDescent="0.45">
      <c r="A97" s="3" t="s">
        <v>324</v>
      </c>
      <c r="B97" s="17" t="s">
        <v>325</v>
      </c>
      <c r="C97" s="17">
        <v>41317</v>
      </c>
      <c r="D97" s="1" t="s">
        <v>313</v>
      </c>
      <c r="E97" s="1" t="s">
        <v>15</v>
      </c>
      <c r="F97" s="1" t="s">
        <v>16</v>
      </c>
      <c r="G97" s="1" t="s">
        <v>33</v>
      </c>
      <c r="H97" s="1" t="s">
        <v>44</v>
      </c>
      <c r="I97" s="1">
        <v>2891.7</v>
      </c>
      <c r="J97" s="1">
        <v>7</v>
      </c>
      <c r="K97" s="1">
        <v>0.1</v>
      </c>
      <c r="L97" s="1">
        <v>96.39</v>
      </c>
      <c r="M97" s="4" t="str">
        <f t="shared" si="2"/>
        <v>Low</v>
      </c>
      <c r="N97" s="12">
        <f>IF(ISBLANK(I97),AVERAGEIF(Table4[Category],G97,Table4[Sales]),I97)</f>
        <v>2891.7</v>
      </c>
      <c r="O97" s="12">
        <f>IF(ISBLANK(L97),AVERAGEIF(Table4[Order Priority],M97,Table4[Profit]),L97)</f>
        <v>96.39</v>
      </c>
    </row>
    <row r="98" spans="1:15" ht="31.25" customHeight="1" x14ac:dyDescent="0.45">
      <c r="A98" s="3" t="s">
        <v>326</v>
      </c>
      <c r="B98" s="17" t="s">
        <v>327</v>
      </c>
      <c r="C98" s="17" t="s">
        <v>327</v>
      </c>
      <c r="D98" s="1" t="s">
        <v>328</v>
      </c>
      <c r="E98" s="1" t="s">
        <v>70</v>
      </c>
      <c r="F98" s="1" t="s">
        <v>71</v>
      </c>
      <c r="G98" s="1" t="s">
        <v>17</v>
      </c>
      <c r="H98" s="1" t="s">
        <v>178</v>
      </c>
      <c r="I98" s="1">
        <v>2016.846</v>
      </c>
      <c r="J98" s="1">
        <v>9</v>
      </c>
      <c r="K98" s="1">
        <v>0.15</v>
      </c>
      <c r="L98" s="1">
        <v>-5.3999999999999999E-2</v>
      </c>
      <c r="M98" s="4" t="str">
        <f t="shared" ref="M98:M129" si="3">IF(L98&gt;1000,"High",IF(L98&gt;=500,"Medium",IF(L98&lt;=0,"Critical","Low")))</f>
        <v>Critical</v>
      </c>
      <c r="N98" s="12">
        <f>IF(ISBLANK(I98),AVERAGEIF(Table4[Category],G98,Table4[Sales]),I98)</f>
        <v>2016.846</v>
      </c>
      <c r="O98" s="12">
        <f>IF(ISBLANK(L98),AVERAGEIF(Table4[Order Priority],M98,Table4[Profit]),L98)</f>
        <v>-5.3999999999999999E-2</v>
      </c>
    </row>
    <row r="99" spans="1:15" ht="31.25" customHeight="1" x14ac:dyDescent="0.45">
      <c r="A99" s="3" t="s">
        <v>329</v>
      </c>
      <c r="B99" s="17">
        <v>41885</v>
      </c>
      <c r="C99" s="17">
        <v>41768</v>
      </c>
      <c r="D99" s="1" t="s">
        <v>330</v>
      </c>
      <c r="E99" s="1" t="s">
        <v>70</v>
      </c>
      <c r="F99" s="1" t="s">
        <v>71</v>
      </c>
      <c r="G99" s="1" t="s">
        <v>45</v>
      </c>
      <c r="H99" s="1" t="s">
        <v>24</v>
      </c>
      <c r="I99" s="1">
        <v>3155.5439999999999</v>
      </c>
      <c r="J99" s="1">
        <v>7</v>
      </c>
      <c r="K99" s="1">
        <v>0.1</v>
      </c>
      <c r="L99" s="1">
        <v>34.944000000000003</v>
      </c>
      <c r="M99" s="4" t="str">
        <f t="shared" si="3"/>
        <v>Low</v>
      </c>
      <c r="N99" s="13">
        <f>IF(ISBLANK(I99),AVERAGEIF(Table4[Category],G99,Table4[Sales]),I99)</f>
        <v>3155.5439999999999</v>
      </c>
      <c r="O99" s="13">
        <f>IF(ISBLANK(L99),AVERAGEIF(Table4[Order Priority],M99,Table4[Profit]),L99)</f>
        <v>34.944000000000003</v>
      </c>
    </row>
    <row r="100" spans="1:15" ht="31.25" customHeight="1" x14ac:dyDescent="0.45">
      <c r="A100" s="3" t="s">
        <v>331</v>
      </c>
      <c r="B100" s="17" t="s">
        <v>332</v>
      </c>
      <c r="C100" s="17">
        <v>41647</v>
      </c>
      <c r="D100" s="1" t="s">
        <v>333</v>
      </c>
      <c r="E100" s="1" t="s">
        <v>145</v>
      </c>
      <c r="F100" s="1" t="s">
        <v>146</v>
      </c>
      <c r="G100" s="1" t="s">
        <v>17</v>
      </c>
      <c r="H100" s="1" t="s">
        <v>140</v>
      </c>
      <c r="I100" s="1">
        <v>3856.14</v>
      </c>
      <c r="J100" s="1">
        <v>6</v>
      </c>
      <c r="K100" s="1">
        <v>0</v>
      </c>
      <c r="L100" s="1"/>
      <c r="M100" s="4" t="str">
        <f t="shared" si="3"/>
        <v>Critical</v>
      </c>
      <c r="N100" s="12">
        <f>IF(ISBLANK(I100),AVERAGEIF(Table4[Category],G100,Table4[Sales]),I100)</f>
        <v>3856.14</v>
      </c>
      <c r="O100" s="12">
        <f>IF(ISBLANK(L100),AVERAGEIF(Table4[Order Priority],M100,Table4[Profit]),L100)</f>
        <v>-390.4273300000001</v>
      </c>
    </row>
    <row r="101" spans="1:15" ht="31.25" customHeight="1" x14ac:dyDescent="0.45">
      <c r="A101" s="3" t="s">
        <v>334</v>
      </c>
      <c r="B101" s="17" t="s">
        <v>283</v>
      </c>
      <c r="C101" s="17" t="s">
        <v>335</v>
      </c>
      <c r="D101" s="1" t="s">
        <v>336</v>
      </c>
      <c r="E101" s="1" t="s">
        <v>15</v>
      </c>
      <c r="F101" s="1" t="s">
        <v>16</v>
      </c>
      <c r="G101" s="1" t="s">
        <v>17</v>
      </c>
      <c r="H101" s="1" t="s">
        <v>75</v>
      </c>
      <c r="I101" s="1">
        <v>3524.4720000000002</v>
      </c>
      <c r="J101" s="1">
        <v>6</v>
      </c>
      <c r="K101" s="1">
        <v>0.1</v>
      </c>
      <c r="L101" s="1">
        <v>861.37199999999996</v>
      </c>
      <c r="M101" s="4" t="str">
        <f t="shared" si="3"/>
        <v>Medium</v>
      </c>
      <c r="N101" s="12">
        <f>IF(ISBLANK(I101),AVERAGEIF(Table4[Category],G101,Table4[Sales]),I101)</f>
        <v>3524.4720000000002</v>
      </c>
      <c r="O101" s="12">
        <f>IF(ISBLANK(L101),AVERAGEIF(Table4[Order Priority],M101,Table4[Profit]),L101)</f>
        <v>861.37199999999996</v>
      </c>
    </row>
    <row r="102" spans="1:15" ht="31.25" customHeight="1" x14ac:dyDescent="0.45">
      <c r="A102" s="3" t="s">
        <v>389</v>
      </c>
      <c r="B102" s="17" t="s">
        <v>337</v>
      </c>
      <c r="C102" s="17" t="s">
        <v>337</v>
      </c>
      <c r="D102" s="1" t="s">
        <v>338</v>
      </c>
      <c r="E102" s="1" t="s">
        <v>70</v>
      </c>
      <c r="F102" s="1" t="s">
        <v>71</v>
      </c>
      <c r="G102" s="1" t="s">
        <v>17</v>
      </c>
      <c r="H102" s="1" t="s">
        <v>27</v>
      </c>
      <c r="I102" s="1">
        <v>2167.2959999999998</v>
      </c>
      <c r="J102" s="1">
        <v>4</v>
      </c>
      <c r="K102" s="1">
        <v>0</v>
      </c>
      <c r="L102" s="1">
        <v>790.41600000000005</v>
      </c>
      <c r="M102" s="4" t="str">
        <f t="shared" si="3"/>
        <v>Medium</v>
      </c>
      <c r="N102" s="13">
        <f>IF(ISBLANK(I102),AVERAGEIF(Table4[Category],G102,Table4[Sales]),I102)</f>
        <v>2167.2959999999998</v>
      </c>
      <c r="O102" s="13">
        <f>IF(ISBLANK(L102),AVERAGEIF(Table4[Order Priority],M102,Table4[Profit]),L102)</f>
        <v>790.41600000000005</v>
      </c>
    </row>
    <row r="103" spans="1:15" ht="31.25" customHeight="1" x14ac:dyDescent="0.45">
      <c r="A103" s="3" t="s">
        <v>339</v>
      </c>
      <c r="B103" s="17">
        <v>41588</v>
      </c>
      <c r="C103" s="17" t="s">
        <v>340</v>
      </c>
      <c r="D103" s="1" t="s">
        <v>341</v>
      </c>
      <c r="E103" s="1" t="s">
        <v>101</v>
      </c>
      <c r="F103" s="1" t="s">
        <v>102</v>
      </c>
      <c r="G103" s="1" t="s">
        <v>17</v>
      </c>
      <c r="H103" s="1" t="s">
        <v>27</v>
      </c>
      <c r="I103" s="1"/>
      <c r="J103" s="1">
        <v>6</v>
      </c>
      <c r="K103" s="1">
        <v>0</v>
      </c>
      <c r="L103" s="1">
        <v>178.92</v>
      </c>
      <c r="M103" s="4" t="str">
        <f t="shared" si="3"/>
        <v>Low</v>
      </c>
      <c r="N103" s="12">
        <f>IF(ISBLANK(I103),AVERAGEIF(Table4[Category],G103,Table4[Sales]),I103)</f>
        <v>2460.5932578461534</v>
      </c>
      <c r="O103" s="12">
        <f>IF(ISBLANK(L103),AVERAGEIF(Table4[Order Priority],M103,Table4[Profit]),L103)</f>
        <v>178.92</v>
      </c>
    </row>
    <row r="104" spans="1:15" ht="31.25" customHeight="1" x14ac:dyDescent="0.45">
      <c r="A104" s="3" t="s">
        <v>389</v>
      </c>
      <c r="B104" s="17">
        <v>41129</v>
      </c>
      <c r="C104" s="17">
        <v>41190</v>
      </c>
      <c r="D104" s="1" t="s">
        <v>342</v>
      </c>
      <c r="E104" s="1" t="s">
        <v>23</v>
      </c>
      <c r="F104" s="1" t="s">
        <v>71</v>
      </c>
      <c r="G104" s="1" t="s">
        <v>17</v>
      </c>
      <c r="H104" s="1" t="s">
        <v>27</v>
      </c>
      <c r="I104" s="1">
        <v>1469.25</v>
      </c>
      <c r="J104" s="1">
        <v>5</v>
      </c>
      <c r="K104" s="1">
        <v>0</v>
      </c>
      <c r="L104" s="1">
        <v>308.39999999999998</v>
      </c>
      <c r="M104" s="4" t="str">
        <f t="shared" si="3"/>
        <v>Low</v>
      </c>
      <c r="N104" s="12">
        <f>IF(ISBLANK(I104),AVERAGEIF(Table4[Category],G104,Table4[Sales]),I104)</f>
        <v>1469.25</v>
      </c>
      <c r="O104" s="12">
        <f>IF(ISBLANK(L104),AVERAGEIF(Table4[Order Priority],M104,Table4[Profit]),L104)</f>
        <v>308.39999999999998</v>
      </c>
    </row>
    <row r="105" spans="1:15" ht="31.25" customHeight="1" x14ac:dyDescent="0.45">
      <c r="A105" s="3" t="s">
        <v>389</v>
      </c>
      <c r="B105" s="17">
        <v>41010</v>
      </c>
      <c r="C105" s="17">
        <v>41132</v>
      </c>
      <c r="D105" s="2" t="s">
        <v>343</v>
      </c>
      <c r="E105" s="1" t="s">
        <v>40</v>
      </c>
      <c r="F105" s="1" t="s">
        <v>71</v>
      </c>
      <c r="G105" s="1" t="s">
        <v>17</v>
      </c>
      <c r="H105" s="1" t="s">
        <v>27</v>
      </c>
      <c r="I105" s="1">
        <v>4448.8320000000003</v>
      </c>
      <c r="J105" s="1">
        <v>8</v>
      </c>
      <c r="K105" s="1">
        <v>0.15</v>
      </c>
      <c r="L105" s="1">
        <v>1517.712</v>
      </c>
      <c r="M105" s="4" t="str">
        <f t="shared" si="3"/>
        <v>High</v>
      </c>
      <c r="N105" s="13">
        <f>IF(ISBLANK(I105),AVERAGEIF(Table4[Category],G105,Table4[Sales]),I105)</f>
        <v>4448.8320000000003</v>
      </c>
      <c r="O105" s="13">
        <f>IF(ISBLANK(L105),AVERAGEIF(Table4[Order Priority],M105,Table4[Profit]),L105)</f>
        <v>1517.712</v>
      </c>
    </row>
    <row r="106" spans="1:15" ht="31.25" customHeight="1" x14ac:dyDescent="0.45">
      <c r="A106" s="3" t="s">
        <v>344</v>
      </c>
      <c r="B106" s="17" t="s">
        <v>345</v>
      </c>
      <c r="C106" s="17">
        <v>40916</v>
      </c>
      <c r="D106" s="1" t="s">
        <v>238</v>
      </c>
      <c r="E106" s="1" t="s">
        <v>40</v>
      </c>
      <c r="F106" s="1" t="s">
        <v>120</v>
      </c>
      <c r="G106" s="1" t="s">
        <v>45</v>
      </c>
      <c r="H106" s="1" t="s">
        <v>34</v>
      </c>
      <c r="I106" s="1">
        <v>65.78</v>
      </c>
      <c r="J106" s="1">
        <v>11</v>
      </c>
      <c r="K106" s="1">
        <v>0</v>
      </c>
      <c r="L106" s="1">
        <v>32.232199999999999</v>
      </c>
      <c r="M106" s="4" t="str">
        <f t="shared" si="3"/>
        <v>Low</v>
      </c>
      <c r="N106" s="12">
        <f>IF(ISBLANK(I106),AVERAGEIF(Table4[Category],G106,Table4[Sales]),I106)</f>
        <v>65.78</v>
      </c>
      <c r="O106" s="12">
        <f>IF(ISBLANK(L106),AVERAGEIF(Table4[Order Priority],M106,Table4[Profit]),L106)</f>
        <v>32.232199999999999</v>
      </c>
    </row>
    <row r="107" spans="1:15" ht="31.25" customHeight="1" x14ac:dyDescent="0.45">
      <c r="A107" s="3" t="s">
        <v>346</v>
      </c>
      <c r="B107" s="17" t="s">
        <v>347</v>
      </c>
      <c r="C107" s="17" t="s">
        <v>348</v>
      </c>
      <c r="D107" s="1" t="s">
        <v>349</v>
      </c>
      <c r="E107" s="1" t="s">
        <v>350</v>
      </c>
      <c r="F107" s="1" t="s">
        <v>62</v>
      </c>
      <c r="G107" s="1" t="s">
        <v>33</v>
      </c>
      <c r="H107" s="1" t="s">
        <v>27</v>
      </c>
      <c r="I107" s="1"/>
      <c r="J107" s="1">
        <v>9</v>
      </c>
      <c r="K107" s="1">
        <v>0</v>
      </c>
      <c r="L107" s="1">
        <v>914.76</v>
      </c>
      <c r="M107" s="4" t="str">
        <f t="shared" si="3"/>
        <v>Medium</v>
      </c>
      <c r="N107" s="12">
        <f>IF(ISBLANK(I107),AVERAGEIF(Table4[Category],G107,Table4[Sales]),I107)</f>
        <v>2398.8796666666672</v>
      </c>
      <c r="O107" s="12">
        <f>IF(ISBLANK(L107),AVERAGEIF(Table4[Order Priority],M107,Table4[Profit]),L107)</f>
        <v>914.76</v>
      </c>
    </row>
    <row r="108" spans="1:15" ht="31.25" customHeight="1" x14ac:dyDescent="0.45">
      <c r="A108" s="3" t="s">
        <v>351</v>
      </c>
      <c r="B108" s="17" t="s">
        <v>352</v>
      </c>
      <c r="C108" s="17" t="s">
        <v>352</v>
      </c>
      <c r="D108" s="1" t="s">
        <v>353</v>
      </c>
      <c r="E108" s="1" t="s">
        <v>15</v>
      </c>
      <c r="F108" s="1" t="s">
        <v>16</v>
      </c>
      <c r="G108" s="1" t="s">
        <v>45</v>
      </c>
      <c r="H108" s="1" t="s">
        <v>44</v>
      </c>
      <c r="I108" s="1">
        <v>3739.1759999999999</v>
      </c>
      <c r="J108" s="1">
        <v>8</v>
      </c>
      <c r="K108" s="1">
        <v>0.1</v>
      </c>
      <c r="L108" s="1">
        <v>747.81600000000003</v>
      </c>
      <c r="M108" s="4" t="str">
        <f t="shared" si="3"/>
        <v>Medium</v>
      </c>
      <c r="N108" s="13">
        <f>IF(ISBLANK(I108),AVERAGEIF(Table4[Category],G108,Table4[Sales]),I108)</f>
        <v>3739.1759999999999</v>
      </c>
      <c r="O108" s="13">
        <f>IF(ISBLANK(L108),AVERAGEIF(Table4[Order Priority],M108,Table4[Profit]),L108)</f>
        <v>747.81600000000003</v>
      </c>
    </row>
    <row r="109" spans="1:15" ht="31.25" customHeight="1" x14ac:dyDescent="0.45">
      <c r="A109" s="3" t="s">
        <v>354</v>
      </c>
      <c r="B109" s="17" t="s">
        <v>355</v>
      </c>
      <c r="C109" s="17" t="s">
        <v>355</v>
      </c>
      <c r="D109" s="1" t="s">
        <v>356</v>
      </c>
      <c r="E109" s="1" t="s">
        <v>357</v>
      </c>
      <c r="F109" s="1" t="s">
        <v>71</v>
      </c>
      <c r="G109" s="1" t="s">
        <v>33</v>
      </c>
      <c r="H109" s="1" t="s">
        <v>178</v>
      </c>
      <c r="I109" s="1">
        <v>2570.8649999999998</v>
      </c>
      <c r="J109" s="1">
        <v>11</v>
      </c>
      <c r="K109" s="1">
        <v>0.5</v>
      </c>
      <c r="L109" s="1">
        <v>-2211.165</v>
      </c>
      <c r="M109" s="4" t="str">
        <f t="shared" si="3"/>
        <v>Critical</v>
      </c>
      <c r="N109" s="12">
        <f>IF(ISBLANK(I109),AVERAGEIF(Table4[Category],G109,Table4[Sales]),I109)</f>
        <v>2570.8649999999998</v>
      </c>
      <c r="O109" s="12">
        <f>IF(ISBLANK(L109),AVERAGEIF(Table4[Order Priority],M109,Table4[Profit]),L109)</f>
        <v>-2211.165</v>
      </c>
    </row>
    <row r="110" spans="1:15" ht="31.25" customHeight="1" x14ac:dyDescent="0.45">
      <c r="A110" s="3" t="s">
        <v>358</v>
      </c>
      <c r="B110" s="17" t="s">
        <v>260</v>
      </c>
      <c r="C110" s="17">
        <v>41643</v>
      </c>
      <c r="D110" s="1" t="s">
        <v>238</v>
      </c>
      <c r="E110" s="1" t="s">
        <v>40</v>
      </c>
      <c r="F110" s="1" t="s">
        <v>182</v>
      </c>
      <c r="G110" s="1" t="s">
        <v>45</v>
      </c>
      <c r="H110" s="1" t="s">
        <v>75</v>
      </c>
      <c r="I110" s="1">
        <v>31.4</v>
      </c>
      <c r="J110" s="1">
        <v>2</v>
      </c>
      <c r="K110" s="1">
        <v>0</v>
      </c>
      <c r="L110" s="1"/>
      <c r="M110" s="4" t="str">
        <f t="shared" si="3"/>
        <v>Critical</v>
      </c>
      <c r="N110" s="12">
        <f>IF(ISBLANK(I110),AVERAGEIF(Table4[Category],G110,Table4[Sales]),I110)</f>
        <v>31.4</v>
      </c>
      <c r="O110" s="12">
        <f>IF(ISBLANK(L110),AVERAGEIF(Table4[Order Priority],M110,Table4[Profit]),L110)</f>
        <v>-390.4273300000001</v>
      </c>
    </row>
    <row r="111" spans="1:15" ht="31.25" customHeight="1" x14ac:dyDescent="0.45">
      <c r="A111" s="3" t="s">
        <v>359</v>
      </c>
      <c r="B111" s="17">
        <v>41398</v>
      </c>
      <c r="C111" s="17">
        <v>41398</v>
      </c>
      <c r="D111" s="1" t="s">
        <v>360</v>
      </c>
      <c r="E111" s="1" t="s">
        <v>23</v>
      </c>
      <c r="F111" s="1" t="s">
        <v>71</v>
      </c>
      <c r="G111" s="1" t="s">
        <v>17</v>
      </c>
      <c r="H111" s="1" t="s">
        <v>24</v>
      </c>
      <c r="I111" s="1">
        <v>2875.77</v>
      </c>
      <c r="J111" s="1">
        <v>9</v>
      </c>
      <c r="K111" s="1">
        <v>0.5</v>
      </c>
      <c r="L111" s="1">
        <v>-1783.08</v>
      </c>
      <c r="M111" s="4" t="str">
        <f t="shared" si="3"/>
        <v>Critical</v>
      </c>
      <c r="N111" s="13">
        <f>IF(ISBLANK(I111),AVERAGEIF(Table4[Category],G111,Table4[Sales]),I111)</f>
        <v>2875.77</v>
      </c>
      <c r="O111" s="13">
        <f>IF(ISBLANK(L111),AVERAGEIF(Table4[Order Priority],M111,Table4[Profit]),L111)</f>
        <v>-1783.08</v>
      </c>
    </row>
    <row r="112" spans="1:15" ht="31.25" customHeight="1" x14ac:dyDescent="0.45">
      <c r="A112" s="3" t="s">
        <v>361</v>
      </c>
      <c r="B112" s="17" t="s">
        <v>362</v>
      </c>
      <c r="C112" s="17" t="s">
        <v>363</v>
      </c>
      <c r="D112" s="1" t="s">
        <v>364</v>
      </c>
      <c r="E112" s="1" t="s">
        <v>241</v>
      </c>
      <c r="F112" s="1" t="s">
        <v>79</v>
      </c>
      <c r="G112" s="1" t="s">
        <v>33</v>
      </c>
      <c r="H112" s="1" t="s">
        <v>140</v>
      </c>
      <c r="I112" s="1">
        <v>1741.8</v>
      </c>
      <c r="J112" s="1">
        <v>5</v>
      </c>
      <c r="K112" s="1">
        <v>0</v>
      </c>
      <c r="L112" s="1">
        <v>261.24</v>
      </c>
      <c r="M112" s="4" t="str">
        <f t="shared" si="3"/>
        <v>Low</v>
      </c>
      <c r="N112" s="12">
        <f>IF(ISBLANK(I112),AVERAGEIF(Table4[Category],G112,Table4[Sales]),I112)</f>
        <v>1741.8</v>
      </c>
      <c r="O112" s="12">
        <f>IF(ISBLANK(L112),AVERAGEIF(Table4[Order Priority],M112,Table4[Profit]),L112)</f>
        <v>261.24</v>
      </c>
    </row>
    <row r="113" spans="1:15" ht="31.25" customHeight="1" x14ac:dyDescent="0.45">
      <c r="A113" s="3" t="s">
        <v>365</v>
      </c>
      <c r="B113" s="17" t="s">
        <v>366</v>
      </c>
      <c r="C113" s="17" t="s">
        <v>367</v>
      </c>
      <c r="D113" s="1" t="s">
        <v>368</v>
      </c>
      <c r="E113" s="1" t="s">
        <v>15</v>
      </c>
      <c r="F113" s="1" t="s">
        <v>16</v>
      </c>
      <c r="G113" s="1" t="s">
        <v>17</v>
      </c>
      <c r="H113" s="1" t="s">
        <v>27</v>
      </c>
      <c r="I113" s="1">
        <v>1601.64</v>
      </c>
      <c r="J113" s="1">
        <v>5</v>
      </c>
      <c r="K113" s="1">
        <v>0.1</v>
      </c>
      <c r="L113" s="1">
        <v>587.19000000000005</v>
      </c>
      <c r="M113" s="4" t="str">
        <f t="shared" si="3"/>
        <v>Medium</v>
      </c>
      <c r="N113" s="12">
        <f>IF(ISBLANK(I113),AVERAGEIF(Table4[Category],G113,Table4[Sales]),I113)</f>
        <v>1601.64</v>
      </c>
      <c r="O113" s="12">
        <f>IF(ISBLANK(L113),AVERAGEIF(Table4[Order Priority],M113,Table4[Profit]),L113)</f>
        <v>587.19000000000005</v>
      </c>
    </row>
    <row r="114" spans="1:15" ht="31.25" customHeight="1" x14ac:dyDescent="0.45">
      <c r="A114" s="3" t="s">
        <v>369</v>
      </c>
      <c r="B114" s="17" t="s">
        <v>370</v>
      </c>
      <c r="C114" s="17" t="s">
        <v>371</v>
      </c>
      <c r="D114" s="1" t="s">
        <v>372</v>
      </c>
      <c r="E114" s="1" t="s">
        <v>65</v>
      </c>
      <c r="F114" s="1" t="s">
        <v>93</v>
      </c>
      <c r="G114" s="1" t="s">
        <v>45</v>
      </c>
      <c r="H114" s="1" t="s">
        <v>178</v>
      </c>
      <c r="I114" s="1">
        <v>3670.8</v>
      </c>
      <c r="J114" s="1">
        <v>7</v>
      </c>
      <c r="K114" s="1">
        <v>0</v>
      </c>
      <c r="L114" s="1">
        <v>367.08</v>
      </c>
      <c r="M114" s="4" t="str">
        <f t="shared" si="3"/>
        <v>Low</v>
      </c>
      <c r="N114" s="13">
        <f>IF(ISBLANK(I114),AVERAGEIF(Table4[Category],G114,Table4[Sales]),I114)</f>
        <v>3670.8</v>
      </c>
      <c r="O114" s="13">
        <f>IF(ISBLANK(L114),AVERAGEIF(Table4[Order Priority],M114,Table4[Profit]),L114)</f>
        <v>367.08</v>
      </c>
    </row>
    <row r="115" spans="1:15" ht="31.25" customHeight="1" x14ac:dyDescent="0.45">
      <c r="A115" s="3" t="s">
        <v>373</v>
      </c>
      <c r="B115" s="17">
        <v>42043</v>
      </c>
      <c r="C115" s="17">
        <v>42224</v>
      </c>
      <c r="D115" s="1" t="s">
        <v>238</v>
      </c>
      <c r="E115" s="1" t="s">
        <v>40</v>
      </c>
      <c r="F115" s="2" t="s">
        <v>41</v>
      </c>
      <c r="G115" s="1" t="s">
        <v>17</v>
      </c>
      <c r="H115" s="1" t="s">
        <v>34</v>
      </c>
      <c r="I115" s="1">
        <v>36.287999999999997</v>
      </c>
      <c r="J115" s="1">
        <v>7</v>
      </c>
      <c r="K115" s="1">
        <v>0.2</v>
      </c>
      <c r="L115" s="1">
        <v>12.700799999999999</v>
      </c>
      <c r="M115" s="4" t="str">
        <f t="shared" si="3"/>
        <v>Low</v>
      </c>
      <c r="N115" s="12">
        <f>IF(ISBLANK(I115),AVERAGEIF(Table4[Category],G115,Table4[Sales]),I115)</f>
        <v>36.287999999999997</v>
      </c>
      <c r="O115" s="12">
        <f>IF(ISBLANK(L115),AVERAGEIF(Table4[Order Priority],M115,Table4[Profit]),L115)</f>
        <v>12.700799999999999</v>
      </c>
    </row>
    <row r="116" spans="1:15" ht="31.25" customHeight="1" x14ac:dyDescent="0.45">
      <c r="A116" s="3" t="s">
        <v>389</v>
      </c>
      <c r="B116" s="17" t="s">
        <v>374</v>
      </c>
      <c r="C116" s="17" t="s">
        <v>375</v>
      </c>
      <c r="D116" s="1" t="s">
        <v>376</v>
      </c>
      <c r="E116" s="1" t="s">
        <v>23</v>
      </c>
      <c r="F116" s="1" t="s">
        <v>377</v>
      </c>
      <c r="G116" s="1" t="s">
        <v>17</v>
      </c>
      <c r="H116" s="1" t="s">
        <v>75</v>
      </c>
      <c r="I116" s="1">
        <v>1900.95</v>
      </c>
      <c r="J116" s="1">
        <v>5</v>
      </c>
      <c r="K116" s="1">
        <v>0</v>
      </c>
      <c r="L116" s="1">
        <v>589.20000000000005</v>
      </c>
      <c r="M116" s="4" t="str">
        <f t="shared" si="3"/>
        <v>Medium</v>
      </c>
      <c r="N116" s="12">
        <f>IF(ISBLANK(I116),AVERAGEIF(Table4[Category],G116,Table4[Sales]),I116)</f>
        <v>1900.95</v>
      </c>
      <c r="O116" s="12">
        <f>IF(ISBLANK(L116),AVERAGEIF(Table4[Order Priority],M116,Table4[Profit]),L116)</f>
        <v>589.20000000000005</v>
      </c>
    </row>
    <row r="117" spans="1:15" ht="31.25" customHeight="1" x14ac:dyDescent="0.45">
      <c r="A117" s="3" t="s">
        <v>237</v>
      </c>
      <c r="B117" s="17">
        <v>42064</v>
      </c>
      <c r="C117" s="17">
        <v>42125</v>
      </c>
      <c r="D117" s="1" t="s">
        <v>238</v>
      </c>
      <c r="E117" s="1" t="s">
        <v>40</v>
      </c>
      <c r="F117" s="1" t="s">
        <v>182</v>
      </c>
      <c r="G117" s="1" t="s">
        <v>45</v>
      </c>
      <c r="H117" s="1" t="s">
        <v>140</v>
      </c>
      <c r="I117" s="1">
        <v>15.66</v>
      </c>
      <c r="J117" s="1">
        <v>5</v>
      </c>
      <c r="K117" s="1">
        <v>0.7</v>
      </c>
      <c r="L117" s="1">
        <v>-12.528</v>
      </c>
      <c r="M117" s="4" t="str">
        <f t="shared" si="3"/>
        <v>Critical</v>
      </c>
      <c r="N117" s="13">
        <f>IF(ISBLANK(I117),AVERAGEIF(Table4[Category],G117,Table4[Sales]),I117)</f>
        <v>15.66</v>
      </c>
      <c r="O117" s="13">
        <f>IF(ISBLANK(L117),AVERAGEIF(Table4[Order Priority],M117,Table4[Profit]),L117)</f>
        <v>-12.528</v>
      </c>
    </row>
    <row r="118" spans="1:15" ht="31.25" customHeight="1" x14ac:dyDescent="0.45">
      <c r="A118" s="3" t="s">
        <v>378</v>
      </c>
      <c r="B118" s="17" t="s">
        <v>379</v>
      </c>
      <c r="C118" s="17" t="s">
        <v>73</v>
      </c>
      <c r="D118" s="1" t="s">
        <v>380</v>
      </c>
      <c r="E118" s="1" t="s">
        <v>70</v>
      </c>
      <c r="F118" s="1" t="s">
        <v>71</v>
      </c>
      <c r="G118" s="1" t="s">
        <v>33</v>
      </c>
      <c r="H118" s="1" t="s">
        <v>34</v>
      </c>
      <c r="I118" s="1">
        <v>4544.1000000000004</v>
      </c>
      <c r="J118" s="1">
        <v>11</v>
      </c>
      <c r="K118" s="1">
        <v>0.1</v>
      </c>
      <c r="L118" s="1">
        <v>1868.13</v>
      </c>
      <c r="M118" s="4" t="str">
        <f t="shared" si="3"/>
        <v>High</v>
      </c>
      <c r="N118" s="12">
        <f>IF(ISBLANK(I118),AVERAGEIF(Table4[Category],G118,Table4[Sales]),I118)</f>
        <v>4544.1000000000004</v>
      </c>
      <c r="O118" s="12">
        <f>IF(ISBLANK(L118),AVERAGEIF(Table4[Order Priority],M118,Table4[Profit]),L118)</f>
        <v>1868.13</v>
      </c>
    </row>
    <row r="119" spans="1:15" ht="31.25" customHeight="1" x14ac:dyDescent="0.45">
      <c r="A119" s="3" t="s">
        <v>381</v>
      </c>
      <c r="B119" s="17" t="s">
        <v>382</v>
      </c>
      <c r="C119" s="17">
        <v>41676</v>
      </c>
      <c r="D119" s="1" t="s">
        <v>383</v>
      </c>
      <c r="E119" s="1" t="s">
        <v>65</v>
      </c>
      <c r="F119" s="1" t="s">
        <v>93</v>
      </c>
      <c r="G119" s="1" t="s">
        <v>33</v>
      </c>
      <c r="H119" s="1" t="s">
        <v>384</v>
      </c>
      <c r="I119" s="1">
        <v>1455.12</v>
      </c>
      <c r="J119" s="1">
        <v>4</v>
      </c>
      <c r="K119" s="1">
        <v>0</v>
      </c>
      <c r="L119" s="1">
        <v>116.4</v>
      </c>
      <c r="M119" s="4" t="str">
        <f t="shared" si="3"/>
        <v>Low</v>
      </c>
      <c r="N119" s="12">
        <f>IF(ISBLANK(I119),AVERAGEIF(Table4[Category],G119,Table4[Sales]),I119)</f>
        <v>1455.12</v>
      </c>
      <c r="O119" s="12">
        <f>IF(ISBLANK(L119),AVERAGEIF(Table4[Order Priority],M119,Table4[Profit]),L119)</f>
        <v>116.4</v>
      </c>
    </row>
    <row r="120" spans="1:15" ht="31.25" customHeight="1" x14ac:dyDescent="0.45">
      <c r="A120" s="3" t="s">
        <v>385</v>
      </c>
      <c r="B120" s="17">
        <v>41649</v>
      </c>
      <c r="C120" s="17">
        <v>41680</v>
      </c>
      <c r="D120" s="1" t="s">
        <v>386</v>
      </c>
      <c r="E120" s="1" t="s">
        <v>15</v>
      </c>
      <c r="F120" s="1" t="s">
        <v>16</v>
      </c>
      <c r="G120" s="1" t="s">
        <v>17</v>
      </c>
      <c r="H120" s="1" t="s">
        <v>24</v>
      </c>
      <c r="I120" s="1">
        <v>1943.19</v>
      </c>
      <c r="J120" s="1">
        <v>6</v>
      </c>
      <c r="K120" s="1">
        <v>0.1</v>
      </c>
      <c r="L120" s="1">
        <v>258.93</v>
      </c>
      <c r="M120" s="4" t="str">
        <f t="shared" si="3"/>
        <v>Low</v>
      </c>
      <c r="N120" s="13">
        <f>IF(ISBLANK(I120),AVERAGEIF(Table4[Category],G120,Table4[Sales]),I120)</f>
        <v>1943.19</v>
      </c>
      <c r="O120" s="13">
        <f>IF(ISBLANK(L120),AVERAGEIF(Table4[Order Priority],M120,Table4[Profit]),L120)</f>
        <v>258.93</v>
      </c>
    </row>
    <row r="121" spans="1:15" ht="31.25" customHeight="1" x14ac:dyDescent="0.45">
      <c r="A121" s="3" t="s">
        <v>387</v>
      </c>
      <c r="B121" s="17">
        <v>42196</v>
      </c>
      <c r="C121" s="17" t="s">
        <v>388</v>
      </c>
      <c r="D121" s="1" t="s">
        <v>349</v>
      </c>
      <c r="E121" s="1" t="s">
        <v>40</v>
      </c>
      <c r="F121" s="1" t="s">
        <v>43</v>
      </c>
      <c r="G121" s="1" t="s">
        <v>33</v>
      </c>
      <c r="H121" s="1" t="s">
        <v>178</v>
      </c>
      <c r="I121" s="1">
        <v>2036.86</v>
      </c>
      <c r="J121" s="1">
        <v>7</v>
      </c>
      <c r="K121" s="1">
        <v>0</v>
      </c>
      <c r="L121" s="1">
        <v>366.63479999999998</v>
      </c>
      <c r="M121" s="4" t="str">
        <f t="shared" si="3"/>
        <v>Low</v>
      </c>
      <c r="N121" s="12">
        <f>IF(ISBLANK(I121),AVERAGEIF(Table4[Category],G121,Table4[Sales]),I121)</f>
        <v>2036.86</v>
      </c>
      <c r="O121" s="12">
        <f>IF(ISBLANK(L121),AVERAGEIF(Table4[Order Priority],M121,Table4[Profit]),L121)</f>
        <v>366.63479999999998</v>
      </c>
    </row>
    <row r="122" spans="1:15" ht="31.25" customHeight="1" x14ac:dyDescent="0.45">
      <c r="A122" s="3" t="s">
        <v>389</v>
      </c>
      <c r="B122" s="17">
        <v>41679</v>
      </c>
      <c r="C122" s="17">
        <v>41738</v>
      </c>
      <c r="D122" s="1" t="s">
        <v>349</v>
      </c>
      <c r="E122" s="1" t="s">
        <v>40</v>
      </c>
      <c r="F122" s="1" t="s">
        <v>213</v>
      </c>
      <c r="G122" s="1" t="s">
        <v>45</v>
      </c>
      <c r="H122" s="1" t="s">
        <v>34</v>
      </c>
      <c r="I122" s="1"/>
      <c r="J122" s="1">
        <v>4</v>
      </c>
      <c r="K122" s="1">
        <v>0.2</v>
      </c>
      <c r="L122" s="1">
        <v>1415.4295999999999</v>
      </c>
      <c r="M122" s="4" t="str">
        <f t="shared" si="3"/>
        <v>High</v>
      </c>
      <c r="N122" s="12">
        <f>IF(ISBLANK(I122),AVERAGEIF(Table4[Category],G122,Table4[Sales]),I122)</f>
        <v>1621.4477189189192</v>
      </c>
      <c r="O122" s="12">
        <f>IF(ISBLANK(L122),AVERAGEIF(Table4[Order Priority],M122,Table4[Profit]),L122)</f>
        <v>1415.4295999999999</v>
      </c>
    </row>
    <row r="123" spans="1:15" ht="31.25" customHeight="1" x14ac:dyDescent="0.45">
      <c r="A123" s="3" t="s">
        <v>390</v>
      </c>
      <c r="B123" s="17">
        <v>41955</v>
      </c>
      <c r="C123" s="17" t="s">
        <v>308</v>
      </c>
      <c r="D123" s="1" t="s">
        <v>92</v>
      </c>
      <c r="E123" s="1" t="s">
        <v>15</v>
      </c>
      <c r="F123" s="1" t="s">
        <v>16</v>
      </c>
      <c r="G123" s="1" t="s">
        <v>17</v>
      </c>
      <c r="H123" s="1" t="s">
        <v>140</v>
      </c>
      <c r="I123" s="1">
        <v>1695.87</v>
      </c>
      <c r="J123" s="1">
        <v>5</v>
      </c>
      <c r="K123" s="1">
        <v>0.1</v>
      </c>
      <c r="L123" s="1">
        <v>-37.83</v>
      </c>
      <c r="M123" s="4" t="str">
        <f t="shared" si="3"/>
        <v>Critical</v>
      </c>
      <c r="N123" s="13">
        <f>IF(ISBLANK(I123),AVERAGEIF(Table4[Category],G123,Table4[Sales]),I123)</f>
        <v>1695.87</v>
      </c>
      <c r="O123" s="13">
        <f>IF(ISBLANK(L123),AVERAGEIF(Table4[Order Priority],M123,Table4[Profit]),L123)</f>
        <v>-37.83</v>
      </c>
    </row>
    <row r="124" spans="1:15" ht="31.25" customHeight="1" x14ac:dyDescent="0.45">
      <c r="A124" s="3" t="s">
        <v>391</v>
      </c>
      <c r="B124" s="17" t="s">
        <v>392</v>
      </c>
      <c r="C124" s="17" t="s">
        <v>393</v>
      </c>
      <c r="D124" s="1" t="s">
        <v>303</v>
      </c>
      <c r="E124" s="1" t="s">
        <v>70</v>
      </c>
      <c r="F124" s="1" t="s">
        <v>71</v>
      </c>
      <c r="G124" s="1" t="s">
        <v>17</v>
      </c>
      <c r="H124" s="1" t="s">
        <v>46</v>
      </c>
      <c r="I124" s="1">
        <v>1505.979</v>
      </c>
      <c r="J124" s="1">
        <v>6</v>
      </c>
      <c r="K124" s="1">
        <v>0.15</v>
      </c>
      <c r="L124" s="1">
        <v>-265.76100000000002</v>
      </c>
      <c r="M124" s="4" t="str">
        <f t="shared" si="3"/>
        <v>Critical</v>
      </c>
      <c r="N124" s="12">
        <f>IF(ISBLANK(I124),AVERAGEIF(Table4[Category],G124,Table4[Sales]),I124)</f>
        <v>1505.979</v>
      </c>
      <c r="O124" s="12">
        <f>IF(ISBLANK(L124),AVERAGEIF(Table4[Order Priority],M124,Table4[Profit]),L124)</f>
        <v>-265.76100000000002</v>
      </c>
    </row>
    <row r="125" spans="1:15" ht="31.25" customHeight="1" x14ac:dyDescent="0.45">
      <c r="A125" s="3" t="s">
        <v>394</v>
      </c>
      <c r="B125" s="17" t="s">
        <v>226</v>
      </c>
      <c r="C125" s="17" t="s">
        <v>192</v>
      </c>
      <c r="D125" s="1" t="s">
        <v>395</v>
      </c>
      <c r="E125" s="1" t="s">
        <v>396</v>
      </c>
      <c r="F125" s="1" t="s">
        <v>162</v>
      </c>
      <c r="G125" s="1" t="s">
        <v>17</v>
      </c>
      <c r="H125" s="1" t="s">
        <v>34</v>
      </c>
      <c r="I125" s="1">
        <v>1954.17</v>
      </c>
      <c r="J125" s="1">
        <v>3</v>
      </c>
      <c r="K125" s="1">
        <v>0</v>
      </c>
      <c r="L125" s="1">
        <v>312.66000000000003</v>
      </c>
      <c r="M125" s="4" t="str">
        <f t="shared" si="3"/>
        <v>Low</v>
      </c>
      <c r="N125" s="12">
        <f>IF(ISBLANK(I125),AVERAGEIF(Table4[Category],G125,Table4[Sales]),I125)</f>
        <v>1954.17</v>
      </c>
      <c r="O125" s="12">
        <f>IF(ISBLANK(L125),AVERAGEIF(Table4[Order Priority],M125,Table4[Profit]),L125)</f>
        <v>312.66000000000003</v>
      </c>
    </row>
    <row r="126" spans="1:15" ht="31.25" customHeight="1" x14ac:dyDescent="0.45">
      <c r="A126" s="3" t="s">
        <v>387</v>
      </c>
      <c r="B126" s="17">
        <v>42196</v>
      </c>
      <c r="C126" s="17" t="s">
        <v>388</v>
      </c>
      <c r="D126" s="1" t="s">
        <v>349</v>
      </c>
      <c r="E126" s="1" t="s">
        <v>40</v>
      </c>
      <c r="F126" s="1" t="s">
        <v>43</v>
      </c>
      <c r="G126" s="1" t="s">
        <v>33</v>
      </c>
      <c r="H126" s="1" t="s">
        <v>34</v>
      </c>
      <c r="I126" s="1">
        <v>449.56799999999998</v>
      </c>
      <c r="J126" s="1">
        <v>2</v>
      </c>
      <c r="K126" s="1">
        <v>0.2</v>
      </c>
      <c r="L126" s="1">
        <v>-73.0548</v>
      </c>
      <c r="M126" s="4" t="str">
        <f t="shared" si="3"/>
        <v>Critical</v>
      </c>
      <c r="N126" s="13">
        <f>IF(ISBLANK(I126),AVERAGEIF(Table4[Category],G126,Table4[Sales]),I126)</f>
        <v>449.56799999999998</v>
      </c>
      <c r="O126" s="13">
        <f>IF(ISBLANK(L126),AVERAGEIF(Table4[Order Priority],M126,Table4[Profit]),L126)</f>
        <v>-73.0548</v>
      </c>
    </row>
    <row r="127" spans="1:15" ht="31.25" customHeight="1" x14ac:dyDescent="0.45">
      <c r="A127" s="3" t="s">
        <v>397</v>
      </c>
      <c r="B127" s="17" t="s">
        <v>398</v>
      </c>
      <c r="C127" s="17" t="s">
        <v>399</v>
      </c>
      <c r="D127" s="1" t="s">
        <v>349</v>
      </c>
      <c r="E127" s="1" t="s">
        <v>40</v>
      </c>
      <c r="F127" s="1" t="s">
        <v>182</v>
      </c>
      <c r="G127" s="1" t="s">
        <v>45</v>
      </c>
      <c r="H127" s="1" t="s">
        <v>27</v>
      </c>
      <c r="I127" s="1">
        <v>160.32</v>
      </c>
      <c r="J127" s="1">
        <v>2</v>
      </c>
      <c r="K127" s="1">
        <v>0</v>
      </c>
      <c r="L127" s="1">
        <v>291.20200740000001</v>
      </c>
      <c r="M127" s="4" t="str">
        <f t="shared" si="3"/>
        <v>Low</v>
      </c>
      <c r="N127" s="12">
        <f>IF(ISBLANK(I127),AVERAGEIF(Table4[Category],G127,Table4[Sales]),I127)</f>
        <v>160.32</v>
      </c>
      <c r="O127" s="12">
        <f>IF(ISBLANK(L127),AVERAGEIF(Table4[Order Priority],M127,Table4[Profit]),L127)</f>
        <v>291.20200740000001</v>
      </c>
    </row>
    <row r="128" spans="1:15" ht="31.25" customHeight="1" x14ac:dyDescent="0.45">
      <c r="A128" s="3" t="s">
        <v>389</v>
      </c>
      <c r="B128" s="17">
        <v>42196</v>
      </c>
      <c r="C128" s="17" t="s">
        <v>388</v>
      </c>
      <c r="D128" s="1" t="s">
        <v>476</v>
      </c>
      <c r="E128" s="1" t="s">
        <v>40</v>
      </c>
      <c r="F128" s="1" t="s">
        <v>43</v>
      </c>
      <c r="G128" s="1" t="s">
        <v>17</v>
      </c>
      <c r="H128" s="1" t="s">
        <v>44</v>
      </c>
      <c r="I128" s="1">
        <v>108.96</v>
      </c>
      <c r="J128" s="1">
        <v>5</v>
      </c>
      <c r="K128" s="1">
        <v>0</v>
      </c>
      <c r="L128" s="1">
        <v>32.688000000000002</v>
      </c>
      <c r="M128" s="4" t="str">
        <f t="shared" si="3"/>
        <v>Low</v>
      </c>
      <c r="N128" s="12">
        <f>IF(ISBLANK(I128),AVERAGEIF(Table4[Category],G128,Table4[Sales]),I128)</f>
        <v>108.96</v>
      </c>
      <c r="O128" s="12">
        <f>IF(ISBLANK(L128),AVERAGEIF(Table4[Order Priority],M128,Table4[Profit]),L128)</f>
        <v>32.688000000000002</v>
      </c>
    </row>
    <row r="129" spans="1:15" ht="31.25" customHeight="1" x14ac:dyDescent="0.45">
      <c r="A129" s="3" t="s">
        <v>481</v>
      </c>
      <c r="B129" s="17" t="s">
        <v>200</v>
      </c>
      <c r="C129" s="17" t="s">
        <v>200</v>
      </c>
      <c r="D129" s="1" t="s">
        <v>400</v>
      </c>
      <c r="E129" s="1" t="s">
        <v>401</v>
      </c>
      <c r="F129" s="1" t="s">
        <v>62</v>
      </c>
      <c r="G129" s="1" t="s">
        <v>17</v>
      </c>
      <c r="H129" s="1" t="s">
        <v>34</v>
      </c>
      <c r="I129" s="1">
        <v>1213.18876</v>
      </c>
      <c r="J129" s="1">
        <v>7</v>
      </c>
      <c r="K129" s="1">
        <v>2E-3</v>
      </c>
      <c r="L129" s="1">
        <v>508.00876</v>
      </c>
      <c r="M129" s="4" t="str">
        <f t="shared" si="3"/>
        <v>Medium</v>
      </c>
      <c r="N129" s="13">
        <f>IF(ISBLANK(I129),AVERAGEIF(Table4[Category],G129,Table4[Sales]),I129)</f>
        <v>1213.18876</v>
      </c>
      <c r="O129" s="13">
        <f>IF(ISBLANK(L129),AVERAGEIF(Table4[Order Priority],M129,Table4[Profit]),L129)</f>
        <v>508.00876</v>
      </c>
    </row>
    <row r="130" spans="1:15" ht="31.25" customHeight="1" x14ac:dyDescent="0.45">
      <c r="A130" s="3" t="s">
        <v>402</v>
      </c>
      <c r="B130" s="17" t="s">
        <v>276</v>
      </c>
      <c r="C130" s="17" t="s">
        <v>320</v>
      </c>
      <c r="D130" s="1" t="s">
        <v>403</v>
      </c>
      <c r="E130" s="1" t="s">
        <v>124</v>
      </c>
      <c r="F130" s="1" t="s">
        <v>51</v>
      </c>
      <c r="G130" s="1" t="s">
        <v>17</v>
      </c>
      <c r="H130" s="1" t="s">
        <v>24</v>
      </c>
      <c r="I130" s="1">
        <v>1590.6</v>
      </c>
      <c r="J130" s="1">
        <v>5</v>
      </c>
      <c r="K130" s="1">
        <v>0</v>
      </c>
      <c r="L130" s="1">
        <v>572.54999999999995</v>
      </c>
      <c r="M130" s="4" t="str">
        <f t="shared" ref="M130:M161" si="4">IF(L130&gt;1000,"High",IF(L130&gt;=500,"Medium",IF(L130&lt;=0,"Critical","Low")))</f>
        <v>Medium</v>
      </c>
      <c r="N130" s="12">
        <f>IF(ISBLANK(I130),AVERAGEIF(Table4[Category],G130,Table4[Sales]),I130)</f>
        <v>1590.6</v>
      </c>
      <c r="O130" s="12">
        <f>IF(ISBLANK(L130),AVERAGEIF(Table4[Order Priority],M130,Table4[Profit]),L130)</f>
        <v>572.54999999999995</v>
      </c>
    </row>
    <row r="131" spans="1:15" ht="31.25" customHeight="1" x14ac:dyDescent="0.45">
      <c r="A131" s="3" t="s">
        <v>389</v>
      </c>
      <c r="B131" s="17">
        <v>41831</v>
      </c>
      <c r="C131" s="17">
        <v>41923</v>
      </c>
      <c r="D131" s="1" t="s">
        <v>404</v>
      </c>
      <c r="E131" s="1" t="s">
        <v>65</v>
      </c>
      <c r="F131" s="1" t="s">
        <v>93</v>
      </c>
      <c r="G131" s="1" t="s">
        <v>17</v>
      </c>
      <c r="H131" s="1" t="s">
        <v>34</v>
      </c>
      <c r="I131" s="1"/>
      <c r="J131" s="1">
        <v>9</v>
      </c>
      <c r="K131" s="1">
        <v>0</v>
      </c>
      <c r="L131" s="1">
        <v>1025.46</v>
      </c>
      <c r="M131" s="4" t="str">
        <f t="shared" si="4"/>
        <v>High</v>
      </c>
      <c r="N131" s="12">
        <f>IF(ISBLANK(I131),AVERAGEIF(Table4[Category],G131,Table4[Sales]),I131)</f>
        <v>2460.5932578461534</v>
      </c>
      <c r="O131" s="12">
        <f>IF(ISBLANK(L131),AVERAGEIF(Table4[Order Priority],M131,Table4[Profit]),L131)</f>
        <v>1025.46</v>
      </c>
    </row>
    <row r="132" spans="1:15" ht="31.25" customHeight="1" x14ac:dyDescent="0.45">
      <c r="A132" s="3" t="s">
        <v>405</v>
      </c>
      <c r="B132" s="17" t="s">
        <v>406</v>
      </c>
      <c r="C132" s="17" t="s">
        <v>407</v>
      </c>
      <c r="D132" s="1" t="s">
        <v>408</v>
      </c>
      <c r="E132" s="1" t="s">
        <v>161</v>
      </c>
      <c r="F132" s="1" t="s">
        <v>162</v>
      </c>
      <c r="G132" s="1" t="s">
        <v>33</v>
      </c>
      <c r="H132" s="1" t="s">
        <v>34</v>
      </c>
      <c r="I132" s="1">
        <v>3278.5848000000001</v>
      </c>
      <c r="J132" s="1">
        <v>8</v>
      </c>
      <c r="K132" s="1">
        <v>7.0000000000000007E-2</v>
      </c>
      <c r="L132" s="1">
        <v>140.82480000000001</v>
      </c>
      <c r="M132" s="4" t="str">
        <f t="shared" si="4"/>
        <v>Low</v>
      </c>
      <c r="N132" s="13">
        <f>IF(ISBLANK(I132),AVERAGEIF(Table4[Category],G132,Table4[Sales]),I132)</f>
        <v>3278.5848000000001</v>
      </c>
      <c r="O132" s="13">
        <f>IF(ISBLANK(L132),AVERAGEIF(Table4[Order Priority],M132,Table4[Profit]),L132)</f>
        <v>140.82480000000001</v>
      </c>
    </row>
    <row r="133" spans="1:15" ht="31.25" customHeight="1" x14ac:dyDescent="0.45">
      <c r="A133" s="3" t="s">
        <v>409</v>
      </c>
      <c r="B133" s="17" t="s">
        <v>410</v>
      </c>
      <c r="C133" s="17" t="s">
        <v>410</v>
      </c>
      <c r="D133" s="1" t="s">
        <v>246</v>
      </c>
      <c r="E133" s="1" t="s">
        <v>411</v>
      </c>
      <c r="F133" s="1" t="s">
        <v>162</v>
      </c>
      <c r="G133" s="1" t="s">
        <v>17</v>
      </c>
      <c r="H133" s="1" t="s">
        <v>18</v>
      </c>
      <c r="I133" s="1">
        <v>3741.5237999999999</v>
      </c>
      <c r="J133" s="1">
        <v>7</v>
      </c>
      <c r="K133" s="1">
        <v>0.17</v>
      </c>
      <c r="L133" s="1">
        <v>946.63379999999995</v>
      </c>
      <c r="M133" s="4" t="str">
        <f t="shared" si="4"/>
        <v>Medium</v>
      </c>
      <c r="N133" s="12">
        <f>IF(ISBLANK(I133),AVERAGEIF(Table4[Category],G133,Table4[Sales]),I133)</f>
        <v>3741.5237999999999</v>
      </c>
      <c r="O133" s="12">
        <f>IF(ISBLANK(L133),AVERAGEIF(Table4[Order Priority],M133,Table4[Profit]),L133)</f>
        <v>946.63379999999995</v>
      </c>
    </row>
    <row r="134" spans="1:15" ht="31.25" customHeight="1" x14ac:dyDescent="0.45">
      <c r="A134" s="3" t="s">
        <v>389</v>
      </c>
      <c r="B134" s="17">
        <v>42166</v>
      </c>
      <c r="C134" s="17">
        <v>42227</v>
      </c>
      <c r="D134" s="1" t="s">
        <v>349</v>
      </c>
      <c r="E134" s="1" t="s">
        <v>40</v>
      </c>
      <c r="F134" s="1" t="s">
        <v>41</v>
      </c>
      <c r="G134" s="1" t="s">
        <v>45</v>
      </c>
      <c r="H134" s="1" t="s">
        <v>178</v>
      </c>
      <c r="I134" s="1">
        <v>67.8</v>
      </c>
      <c r="J134" s="1">
        <v>10</v>
      </c>
      <c r="K134" s="1">
        <v>0</v>
      </c>
      <c r="L134" s="1">
        <v>31.187999999999999</v>
      </c>
      <c r="M134" s="4" t="str">
        <f t="shared" si="4"/>
        <v>Low</v>
      </c>
      <c r="N134" s="12">
        <f>IF(ISBLANK(I134),AVERAGEIF(Table4[Category],G134,Table4[Sales]),I134)</f>
        <v>67.8</v>
      </c>
      <c r="O134" s="12">
        <f>IF(ISBLANK(L134),AVERAGEIF(Table4[Order Priority],M134,Table4[Profit]),L134)</f>
        <v>31.187999999999999</v>
      </c>
    </row>
    <row r="135" spans="1:15" ht="31.25" customHeight="1" x14ac:dyDescent="0.45">
      <c r="A135" s="3" t="s">
        <v>412</v>
      </c>
      <c r="B135" s="17">
        <v>41548</v>
      </c>
      <c r="C135" s="17" t="s">
        <v>413</v>
      </c>
      <c r="D135" s="1" t="s">
        <v>328</v>
      </c>
      <c r="E135" s="1" t="s">
        <v>161</v>
      </c>
      <c r="F135" s="1" t="s">
        <v>162</v>
      </c>
      <c r="G135" s="1" t="s">
        <v>33</v>
      </c>
      <c r="H135" s="1" t="s">
        <v>27</v>
      </c>
      <c r="I135" s="1">
        <v>3637.6019999999999</v>
      </c>
      <c r="J135" s="1">
        <v>10</v>
      </c>
      <c r="K135" s="1">
        <v>7.0000000000000007E-2</v>
      </c>
      <c r="L135" s="1">
        <v>156.40199999999999</v>
      </c>
      <c r="M135" s="4" t="str">
        <f t="shared" si="4"/>
        <v>Low</v>
      </c>
      <c r="N135" s="13">
        <f>IF(ISBLANK(I135),AVERAGEIF(Table4[Category],G135,Table4[Sales]),I135)</f>
        <v>3637.6019999999999</v>
      </c>
      <c r="O135" s="13">
        <f>IF(ISBLANK(L135),AVERAGEIF(Table4[Order Priority],M135,Table4[Profit]),L135)</f>
        <v>156.40199999999999</v>
      </c>
    </row>
    <row r="136" spans="1:15" ht="31.25" customHeight="1" x14ac:dyDescent="0.45">
      <c r="A136" s="3" t="s">
        <v>414</v>
      </c>
      <c r="B136" s="17" t="s">
        <v>20</v>
      </c>
      <c r="C136" s="17" t="s">
        <v>21</v>
      </c>
      <c r="D136" s="1" t="s">
        <v>476</v>
      </c>
      <c r="E136" s="1" t="s">
        <v>101</v>
      </c>
      <c r="F136" s="1" t="s">
        <v>102</v>
      </c>
      <c r="G136" s="1" t="s">
        <v>45</v>
      </c>
      <c r="H136" s="1" t="s">
        <v>24</v>
      </c>
      <c r="I136" s="1"/>
      <c r="J136" s="1">
        <v>5</v>
      </c>
      <c r="K136" s="1">
        <v>0</v>
      </c>
      <c r="L136" s="1">
        <v>785.82</v>
      </c>
      <c r="M136" s="4" t="str">
        <f t="shared" si="4"/>
        <v>Medium</v>
      </c>
      <c r="N136" s="12">
        <f>IF(ISBLANK(I136),AVERAGEIF(Table4[Category],G136,Table4[Sales]),I136)</f>
        <v>1621.4477189189192</v>
      </c>
      <c r="O136" s="12">
        <f>IF(ISBLANK(L136),AVERAGEIF(Table4[Order Priority],M136,Table4[Profit]),L136)</f>
        <v>785.82</v>
      </c>
    </row>
    <row r="137" spans="1:15" ht="31.25" customHeight="1" x14ac:dyDescent="0.45">
      <c r="A137" s="3" t="s">
        <v>415</v>
      </c>
      <c r="B137" s="17" t="s">
        <v>416</v>
      </c>
      <c r="C137" s="17" t="s">
        <v>417</v>
      </c>
      <c r="D137" s="1" t="s">
        <v>39</v>
      </c>
      <c r="E137" s="1" t="s">
        <v>65</v>
      </c>
      <c r="F137" s="1" t="s">
        <v>477</v>
      </c>
      <c r="G137" s="1" t="s">
        <v>17</v>
      </c>
      <c r="H137" s="1" t="s">
        <v>178</v>
      </c>
      <c r="I137" s="1">
        <v>1024.68</v>
      </c>
      <c r="J137" s="1">
        <v>8</v>
      </c>
      <c r="K137" s="1">
        <v>0.5</v>
      </c>
      <c r="L137" s="1"/>
      <c r="M137" s="4" t="str">
        <f t="shared" si="4"/>
        <v>Critical</v>
      </c>
      <c r="N137" s="12">
        <f>IF(ISBLANK(I137),AVERAGEIF(Table4[Category],G137,Table4[Sales]),I137)</f>
        <v>1024.68</v>
      </c>
      <c r="O137" s="12">
        <f>IF(ISBLANK(L137),AVERAGEIF(Table4[Order Priority],M137,Table4[Profit]),L137)</f>
        <v>-390.4273300000001</v>
      </c>
    </row>
    <row r="138" spans="1:15" ht="31.25" customHeight="1" x14ac:dyDescent="0.45">
      <c r="A138" s="7" t="s">
        <v>418</v>
      </c>
      <c r="B138" s="17" t="s">
        <v>294</v>
      </c>
      <c r="C138" s="17">
        <v>42227</v>
      </c>
      <c r="D138" s="1" t="s">
        <v>349</v>
      </c>
      <c r="E138" s="1" t="s">
        <v>40</v>
      </c>
      <c r="F138" s="1" t="s">
        <v>41</v>
      </c>
      <c r="G138" s="1" t="s">
        <v>45</v>
      </c>
      <c r="H138" s="1" t="s">
        <v>75</v>
      </c>
      <c r="I138" s="1">
        <v>167.94</v>
      </c>
      <c r="J138" s="1">
        <v>3</v>
      </c>
      <c r="K138" s="1">
        <v>0</v>
      </c>
      <c r="L138" s="1">
        <v>82.290599999999998</v>
      </c>
      <c r="M138" s="4" t="str">
        <f t="shared" si="4"/>
        <v>Low</v>
      </c>
      <c r="N138" s="13">
        <f>IF(ISBLANK(I138),AVERAGEIF(Table4[Category],G138,Table4[Sales]),I138)</f>
        <v>167.94</v>
      </c>
      <c r="O138" s="13">
        <f>IF(ISBLANK(L138),AVERAGEIF(Table4[Order Priority],M138,Table4[Profit]),L138)</f>
        <v>82.290599999999998</v>
      </c>
    </row>
    <row r="139" spans="1:15" ht="31.25" customHeight="1" x14ac:dyDescent="0.45">
      <c r="A139" s="3" t="s">
        <v>389</v>
      </c>
      <c r="B139" s="17">
        <v>41679</v>
      </c>
      <c r="C139" s="17">
        <v>41738</v>
      </c>
      <c r="D139" s="1" t="s">
        <v>349</v>
      </c>
      <c r="E139" s="1" t="s">
        <v>40</v>
      </c>
      <c r="F139" s="1" t="s">
        <v>120</v>
      </c>
      <c r="G139" s="1" t="s">
        <v>45</v>
      </c>
      <c r="H139" s="1" t="s">
        <v>140</v>
      </c>
      <c r="I139" s="1"/>
      <c r="J139" s="1">
        <v>2</v>
      </c>
      <c r="K139" s="1">
        <v>0</v>
      </c>
      <c r="L139" s="1">
        <v>83.822606759999999</v>
      </c>
      <c r="M139" s="4" t="str">
        <f t="shared" si="4"/>
        <v>Low</v>
      </c>
      <c r="N139" s="12">
        <f>IF(ISBLANK(I139),AVERAGEIF(Table4[Category],G139,Table4[Sales]),I139)</f>
        <v>1621.4477189189192</v>
      </c>
      <c r="O139" s="12">
        <f>IF(ISBLANK(L139),AVERAGEIF(Table4[Order Priority],M139,Table4[Profit]),L139)</f>
        <v>83.822606759999999</v>
      </c>
    </row>
    <row r="140" spans="1:15" ht="31.25" customHeight="1" x14ac:dyDescent="0.45">
      <c r="A140" s="3" t="s">
        <v>419</v>
      </c>
      <c r="B140" s="17">
        <v>41437</v>
      </c>
      <c r="C140" s="17">
        <v>41498</v>
      </c>
      <c r="D140" s="1" t="s">
        <v>420</v>
      </c>
      <c r="E140" s="1" t="s">
        <v>61</v>
      </c>
      <c r="F140" s="1" t="s">
        <v>62</v>
      </c>
      <c r="G140" s="1" t="s">
        <v>17</v>
      </c>
      <c r="H140" s="1" t="s">
        <v>24</v>
      </c>
      <c r="I140" s="1">
        <v>2297.96</v>
      </c>
      <c r="J140" s="1">
        <v>14</v>
      </c>
      <c r="K140" s="1">
        <v>0</v>
      </c>
      <c r="L140" s="1">
        <v>988.12</v>
      </c>
      <c r="M140" s="4" t="str">
        <f t="shared" si="4"/>
        <v>Medium</v>
      </c>
      <c r="N140" s="12">
        <f>IF(ISBLANK(I140),AVERAGEIF(Table4[Category],G140,Table4[Sales]),I140)</f>
        <v>2297.96</v>
      </c>
      <c r="O140" s="12">
        <f>IF(ISBLANK(L140),AVERAGEIF(Table4[Order Priority],M140,Table4[Profit]),L140)</f>
        <v>988.12</v>
      </c>
    </row>
    <row r="141" spans="1:15" ht="31.25" customHeight="1" x14ac:dyDescent="0.45">
      <c r="A141" s="3" t="s">
        <v>421</v>
      </c>
      <c r="B141" s="17">
        <v>41768</v>
      </c>
      <c r="C141" s="17">
        <v>41829</v>
      </c>
      <c r="D141" s="1" t="s">
        <v>422</v>
      </c>
      <c r="E141" s="1" t="s">
        <v>78</v>
      </c>
      <c r="F141" s="1" t="s">
        <v>79</v>
      </c>
      <c r="G141" s="1" t="s">
        <v>17</v>
      </c>
      <c r="H141" s="1" t="s">
        <v>140</v>
      </c>
      <c r="I141" s="1">
        <v>2671.41</v>
      </c>
      <c r="J141" s="1">
        <v>7</v>
      </c>
      <c r="K141" s="1">
        <v>0</v>
      </c>
      <c r="L141" s="1"/>
      <c r="M141" s="4" t="str">
        <f t="shared" si="4"/>
        <v>Critical</v>
      </c>
      <c r="N141" s="13">
        <f>IF(ISBLANK(I141),AVERAGEIF(Table4[Category],G141,Table4[Sales]),I141)</f>
        <v>2671.41</v>
      </c>
      <c r="O141" s="13">
        <f>IF(ISBLANK(L141),AVERAGEIF(Table4[Order Priority],M141,Table4[Profit]),L141)</f>
        <v>-390.4273300000001</v>
      </c>
    </row>
    <row r="142" spans="1:15" ht="31.25" customHeight="1" x14ac:dyDescent="0.45">
      <c r="A142" s="3" t="s">
        <v>423</v>
      </c>
      <c r="B142" s="17" t="s">
        <v>200</v>
      </c>
      <c r="C142" s="17" t="s">
        <v>424</v>
      </c>
      <c r="D142" s="1" t="s">
        <v>425</v>
      </c>
      <c r="E142" s="1" t="s">
        <v>426</v>
      </c>
      <c r="F142" s="1" t="s">
        <v>87</v>
      </c>
      <c r="G142" s="1" t="s">
        <v>17</v>
      </c>
      <c r="H142" s="1" t="s">
        <v>18</v>
      </c>
      <c r="I142" s="1">
        <v>3834</v>
      </c>
      <c r="J142" s="1">
        <v>6</v>
      </c>
      <c r="K142" s="1">
        <v>0</v>
      </c>
      <c r="L142" s="1">
        <v>268.38</v>
      </c>
      <c r="M142" s="4" t="str">
        <f t="shared" si="4"/>
        <v>Low</v>
      </c>
      <c r="N142" s="12">
        <f>IF(ISBLANK(I142),AVERAGEIF(Table4[Category],G142,Table4[Sales]),I142)</f>
        <v>3834</v>
      </c>
      <c r="O142" s="12">
        <f>IF(ISBLANK(L142),AVERAGEIF(Table4[Order Priority],M142,Table4[Profit]),L142)</f>
        <v>268.38</v>
      </c>
    </row>
    <row r="143" spans="1:15" ht="31.25" customHeight="1" x14ac:dyDescent="0.45">
      <c r="A143" s="3" t="s">
        <v>389</v>
      </c>
      <c r="B143" s="17">
        <v>41679</v>
      </c>
      <c r="C143" s="17">
        <v>41738</v>
      </c>
      <c r="D143" s="1" t="s">
        <v>349</v>
      </c>
      <c r="E143" s="1" t="s">
        <v>427</v>
      </c>
      <c r="F143" s="1" t="s">
        <v>120</v>
      </c>
      <c r="G143" s="1" t="s">
        <v>45</v>
      </c>
      <c r="H143" s="1" t="s">
        <v>34</v>
      </c>
      <c r="I143" s="1">
        <v>49.12</v>
      </c>
      <c r="J143" s="1">
        <v>4</v>
      </c>
      <c r="K143" s="1">
        <v>0</v>
      </c>
      <c r="L143" s="1">
        <v>23.086400000000001</v>
      </c>
      <c r="M143" s="4" t="str">
        <f t="shared" si="4"/>
        <v>Low</v>
      </c>
      <c r="N143" s="12">
        <f>IF(ISBLANK(I143),AVERAGEIF(Table4[Category],G143,Table4[Sales]),I143)</f>
        <v>49.12</v>
      </c>
      <c r="O143" s="12">
        <f>IF(ISBLANK(L143),AVERAGEIF(Table4[Order Priority],M143,Table4[Profit]),L143)</f>
        <v>23.086400000000001</v>
      </c>
    </row>
    <row r="144" spans="1:15" ht="31.25" customHeight="1" x14ac:dyDescent="0.45">
      <c r="A144" s="3" t="s">
        <v>428</v>
      </c>
      <c r="B144" s="17">
        <v>41341</v>
      </c>
      <c r="C144" s="17">
        <v>41494</v>
      </c>
      <c r="D144" s="1" t="s">
        <v>429</v>
      </c>
      <c r="E144" s="1" t="s">
        <v>161</v>
      </c>
      <c r="F144" s="1" t="s">
        <v>162</v>
      </c>
      <c r="G144" s="1" t="s">
        <v>45</v>
      </c>
      <c r="H144" s="1" t="s">
        <v>27</v>
      </c>
      <c r="I144" s="1">
        <v>3501.7368000000001</v>
      </c>
      <c r="J144" s="1">
        <v>8</v>
      </c>
      <c r="K144" s="1">
        <v>0.17</v>
      </c>
      <c r="L144" s="1">
        <v>210.85679999999999</v>
      </c>
      <c r="M144" s="4" t="str">
        <f t="shared" si="4"/>
        <v>Low</v>
      </c>
      <c r="N144" s="13">
        <f>IF(ISBLANK(I144),AVERAGEIF(Table4[Category],G144,Table4[Sales]),I144)</f>
        <v>3501.7368000000001</v>
      </c>
      <c r="O144" s="13">
        <f>IF(ISBLANK(L144),AVERAGEIF(Table4[Order Priority],M144,Table4[Profit]),L144)</f>
        <v>210.85679999999999</v>
      </c>
    </row>
    <row r="145" spans="1:15" ht="31.25" customHeight="1" x14ac:dyDescent="0.45">
      <c r="A145" s="3" t="s">
        <v>430</v>
      </c>
      <c r="B145" s="17" t="s">
        <v>20</v>
      </c>
      <c r="C145" s="17">
        <v>42320</v>
      </c>
      <c r="D145" s="1" t="s">
        <v>431</v>
      </c>
      <c r="E145" s="1" t="s">
        <v>15</v>
      </c>
      <c r="F145" s="1" t="s">
        <v>16</v>
      </c>
      <c r="G145" s="1" t="s">
        <v>17</v>
      </c>
      <c r="H145" s="1" t="s">
        <v>24</v>
      </c>
      <c r="I145" s="1">
        <v>1725.462</v>
      </c>
      <c r="J145" s="1">
        <v>3</v>
      </c>
      <c r="K145" s="1">
        <v>0.1</v>
      </c>
      <c r="L145" s="1">
        <v>747.61199999999997</v>
      </c>
      <c r="M145" s="4" t="str">
        <f t="shared" si="4"/>
        <v>Medium</v>
      </c>
      <c r="N145" s="12">
        <f>IF(ISBLANK(I145),AVERAGEIF(Table4[Category],G145,Table4[Sales]),I145)</f>
        <v>1725.462</v>
      </c>
      <c r="O145" s="12">
        <f>IF(ISBLANK(L145),AVERAGEIF(Table4[Order Priority],M145,Table4[Profit]),L145)</f>
        <v>747.61199999999997</v>
      </c>
    </row>
    <row r="146" spans="1:15" ht="31.25" customHeight="1" x14ac:dyDescent="0.45">
      <c r="A146" s="3" t="s">
        <v>432</v>
      </c>
      <c r="B146" s="17" t="s">
        <v>433</v>
      </c>
      <c r="C146" s="17" t="s">
        <v>434</v>
      </c>
      <c r="D146" s="1" t="s">
        <v>435</v>
      </c>
      <c r="E146" s="1" t="s">
        <v>65</v>
      </c>
      <c r="F146" s="1" t="s">
        <v>93</v>
      </c>
      <c r="G146" s="1" t="s">
        <v>17</v>
      </c>
      <c r="H146" s="1" t="s">
        <v>75</v>
      </c>
      <c r="I146" s="1">
        <v>1583.7</v>
      </c>
      <c r="J146" s="1">
        <v>5</v>
      </c>
      <c r="K146" s="1">
        <v>0</v>
      </c>
      <c r="L146" s="1">
        <v>174.15</v>
      </c>
      <c r="M146" s="4" t="str">
        <f t="shared" si="4"/>
        <v>Low</v>
      </c>
      <c r="N146" s="12">
        <f>IF(ISBLANK(I146),AVERAGEIF(Table4[Category],G146,Table4[Sales]),I146)</f>
        <v>1583.7</v>
      </c>
      <c r="O146" s="12">
        <f>IF(ISBLANK(L146),AVERAGEIF(Table4[Order Priority],M146,Table4[Profit]),L146)</f>
        <v>174.15</v>
      </c>
    </row>
    <row r="147" spans="1:15" ht="31.25" customHeight="1" x14ac:dyDescent="0.45">
      <c r="A147" s="3" t="s">
        <v>436</v>
      </c>
      <c r="B147" s="17">
        <v>42221</v>
      </c>
      <c r="C147" s="17" t="s">
        <v>437</v>
      </c>
      <c r="D147" s="1" t="s">
        <v>476</v>
      </c>
      <c r="E147" s="1" t="s">
        <v>40</v>
      </c>
      <c r="F147" s="1" t="s">
        <v>43</v>
      </c>
      <c r="G147" s="1" t="s">
        <v>17</v>
      </c>
      <c r="H147" s="1" t="s">
        <v>27</v>
      </c>
      <c r="I147" s="1">
        <v>79.989999999999995</v>
      </c>
      <c r="J147" s="1">
        <v>1</v>
      </c>
      <c r="K147" s="1">
        <v>0</v>
      </c>
      <c r="L147" s="1">
        <v>28.796399999999998</v>
      </c>
      <c r="M147" s="4" t="str">
        <f t="shared" si="4"/>
        <v>Low</v>
      </c>
      <c r="N147" s="13">
        <f>IF(ISBLANK(I147),AVERAGEIF(Table4[Category],G147,Table4[Sales]),I147)</f>
        <v>79.989999999999995</v>
      </c>
      <c r="O147" s="13">
        <f>IF(ISBLANK(L147),AVERAGEIF(Table4[Order Priority],M147,Table4[Profit]),L147)</f>
        <v>28.796399999999998</v>
      </c>
    </row>
    <row r="148" spans="1:15" ht="31.25" customHeight="1" x14ac:dyDescent="0.45">
      <c r="A148" s="3" t="s">
        <v>438</v>
      </c>
      <c r="B148" s="17" t="s">
        <v>439</v>
      </c>
      <c r="C148" s="17" t="s">
        <v>440</v>
      </c>
      <c r="D148" s="1" t="s">
        <v>441</v>
      </c>
      <c r="E148" s="1" t="s">
        <v>15</v>
      </c>
      <c r="F148" s="1" t="s">
        <v>16</v>
      </c>
      <c r="G148" s="1" t="s">
        <v>33</v>
      </c>
      <c r="H148" s="1" t="s">
        <v>34</v>
      </c>
      <c r="I148" s="1">
        <v>2760.3449999999998</v>
      </c>
      <c r="J148" s="1">
        <v>7</v>
      </c>
      <c r="K148" s="1">
        <v>0.1</v>
      </c>
      <c r="L148" s="1">
        <v>-214.72499999999999</v>
      </c>
      <c r="M148" s="4" t="str">
        <f t="shared" si="4"/>
        <v>Critical</v>
      </c>
      <c r="N148" s="12">
        <f>IF(ISBLANK(I148),AVERAGEIF(Table4[Category],G148,Table4[Sales]),I148)</f>
        <v>2760.3449999999998</v>
      </c>
      <c r="O148" s="12">
        <f>IF(ISBLANK(L148),AVERAGEIF(Table4[Order Priority],M148,Table4[Profit]),L148)</f>
        <v>-214.72499999999999</v>
      </c>
    </row>
    <row r="149" spans="1:15" ht="31.25" customHeight="1" x14ac:dyDescent="0.45">
      <c r="A149" s="3" t="s">
        <v>389</v>
      </c>
      <c r="B149" s="17">
        <v>41248</v>
      </c>
      <c r="C149" s="17" t="s">
        <v>442</v>
      </c>
      <c r="D149" s="1" t="s">
        <v>318</v>
      </c>
      <c r="E149" s="1" t="s">
        <v>223</v>
      </c>
      <c r="F149" s="1" t="s">
        <v>51</v>
      </c>
      <c r="G149" s="1" t="s">
        <v>17</v>
      </c>
      <c r="H149" s="1" t="s">
        <v>24</v>
      </c>
      <c r="I149" s="1">
        <v>3078.72</v>
      </c>
      <c r="J149" s="1">
        <v>12</v>
      </c>
      <c r="K149" s="1">
        <v>0</v>
      </c>
      <c r="L149" s="1">
        <v>523.08000000000004</v>
      </c>
      <c r="M149" s="4" t="str">
        <f t="shared" si="4"/>
        <v>Medium</v>
      </c>
      <c r="N149" s="12">
        <f>IF(ISBLANK(I149),AVERAGEIF(Table4[Category],G149,Table4[Sales]),I149)</f>
        <v>3078.72</v>
      </c>
      <c r="O149" s="12">
        <f>IF(ISBLANK(L149),AVERAGEIF(Table4[Order Priority],M149,Table4[Profit]),L149)</f>
        <v>523.08000000000004</v>
      </c>
    </row>
    <row r="150" spans="1:15" ht="31.25" customHeight="1" x14ac:dyDescent="0.45">
      <c r="A150" s="3" t="s">
        <v>443</v>
      </c>
      <c r="B150" s="17">
        <v>40950</v>
      </c>
      <c r="C150" s="17">
        <v>41040</v>
      </c>
      <c r="D150" s="1" t="s">
        <v>444</v>
      </c>
      <c r="E150" s="1" t="s">
        <v>357</v>
      </c>
      <c r="F150" s="1" t="s">
        <v>114</v>
      </c>
      <c r="G150" s="1" t="s">
        <v>45</v>
      </c>
      <c r="H150" s="1" t="s">
        <v>178</v>
      </c>
      <c r="I150" s="1">
        <v>1983.135</v>
      </c>
      <c r="J150" s="1">
        <v>5</v>
      </c>
      <c r="K150" s="1">
        <v>0.5</v>
      </c>
      <c r="L150" s="1">
        <v>-1784.895</v>
      </c>
      <c r="M150" s="4" t="str">
        <f t="shared" si="4"/>
        <v>Critical</v>
      </c>
      <c r="N150" s="13">
        <f>IF(ISBLANK(I150),AVERAGEIF(Table4[Category],G150,Table4[Sales]),I150)</f>
        <v>1983.135</v>
      </c>
      <c r="O150" s="13">
        <f>IF(ISBLANK(L150),AVERAGEIF(Table4[Order Priority],M150,Table4[Profit]),L150)</f>
        <v>-1784.895</v>
      </c>
    </row>
    <row r="151" spans="1:15" ht="31.25" customHeight="1" x14ac:dyDescent="0.45">
      <c r="A151" s="3" t="s">
        <v>445</v>
      </c>
      <c r="B151" s="17">
        <v>42043</v>
      </c>
      <c r="C151" s="17">
        <v>42071</v>
      </c>
      <c r="D151" s="1" t="s">
        <v>476</v>
      </c>
      <c r="E151" s="1" t="s">
        <v>70</v>
      </c>
      <c r="F151" s="1" t="s">
        <v>71</v>
      </c>
      <c r="G151" s="1" t="s">
        <v>33</v>
      </c>
      <c r="H151" s="1" t="s">
        <v>18</v>
      </c>
      <c r="I151" s="1">
        <v>1112.778</v>
      </c>
      <c r="J151" s="1">
        <v>3</v>
      </c>
      <c r="K151" s="1">
        <v>0</v>
      </c>
      <c r="L151" s="1">
        <v>296.65800000000002</v>
      </c>
      <c r="M151" s="4" t="str">
        <f t="shared" si="4"/>
        <v>Low</v>
      </c>
      <c r="N151" s="12">
        <f>IF(ISBLANK(I151),AVERAGEIF(Table4[Category],G151,Table4[Sales]),I151)</f>
        <v>1112.778</v>
      </c>
      <c r="O151" s="12">
        <f>IF(ISBLANK(L151),AVERAGEIF(Table4[Order Priority],M151,Table4[Profit]),L151)</f>
        <v>296.65800000000002</v>
      </c>
    </row>
    <row r="152" spans="1:15" ht="31.25" customHeight="1" x14ac:dyDescent="0.45">
      <c r="A152" s="3" t="s">
        <v>446</v>
      </c>
      <c r="B152" s="17" t="s">
        <v>447</v>
      </c>
      <c r="C152" s="17">
        <v>41173</v>
      </c>
      <c r="D152" s="1" t="s">
        <v>353</v>
      </c>
      <c r="E152" s="1" t="s">
        <v>23</v>
      </c>
      <c r="F152" s="1" t="s">
        <v>71</v>
      </c>
      <c r="G152" s="1" t="s">
        <v>17</v>
      </c>
      <c r="H152" s="1" t="s">
        <v>75</v>
      </c>
      <c r="I152" s="1">
        <v>3616.5</v>
      </c>
      <c r="J152" s="1">
        <v>10</v>
      </c>
      <c r="K152" s="1">
        <v>0</v>
      </c>
      <c r="L152" s="1">
        <v>36</v>
      </c>
      <c r="M152" s="4" t="str">
        <f t="shared" si="4"/>
        <v>Low</v>
      </c>
      <c r="N152" s="12">
        <f>IF(ISBLANK(I152),AVERAGEIF(Table4[Category],G152,Table4[Sales]),I152)</f>
        <v>3616.5</v>
      </c>
      <c r="O152" s="12">
        <f>IF(ISBLANK(L152),AVERAGEIF(Table4[Order Priority],M152,Table4[Profit]),L152)</f>
        <v>36</v>
      </c>
    </row>
    <row r="153" spans="1:15" ht="31.25" customHeight="1" x14ac:dyDescent="0.45">
      <c r="A153" s="3" t="s">
        <v>397</v>
      </c>
      <c r="B153" s="17" t="s">
        <v>448</v>
      </c>
      <c r="C153" s="17" t="s">
        <v>399</v>
      </c>
      <c r="D153" s="1" t="s">
        <v>349</v>
      </c>
      <c r="E153" s="1" t="s">
        <v>427</v>
      </c>
      <c r="F153" s="1" t="s">
        <v>182</v>
      </c>
      <c r="G153" s="1" t="s">
        <v>33</v>
      </c>
      <c r="H153" s="1" t="s">
        <v>178</v>
      </c>
      <c r="I153" s="1">
        <v>127.88</v>
      </c>
      <c r="J153" s="1">
        <v>2</v>
      </c>
      <c r="K153" s="1">
        <v>0</v>
      </c>
      <c r="L153" s="1">
        <v>40.921599999999998</v>
      </c>
      <c r="M153" s="4" t="str">
        <f t="shared" si="4"/>
        <v>Low</v>
      </c>
      <c r="N153" s="13">
        <f>IF(ISBLANK(I153),AVERAGEIF(Table4[Category],G153,Table4[Sales]),I153)</f>
        <v>127.88</v>
      </c>
      <c r="O153" s="13">
        <f>IF(ISBLANK(L153),AVERAGEIF(Table4[Order Priority],M153,Table4[Profit]),L153)</f>
        <v>40.921599999999998</v>
      </c>
    </row>
    <row r="154" spans="1:15" ht="31.25" customHeight="1" x14ac:dyDescent="0.45">
      <c r="A154" s="3" t="s">
        <v>449</v>
      </c>
      <c r="B154" s="17">
        <v>41946</v>
      </c>
      <c r="C154" s="17" t="s">
        <v>450</v>
      </c>
      <c r="D154" s="1" t="s">
        <v>451</v>
      </c>
      <c r="E154" s="1" t="s">
        <v>15</v>
      </c>
      <c r="F154" s="1" t="s">
        <v>16</v>
      </c>
      <c r="G154" s="1" t="s">
        <v>17</v>
      </c>
      <c r="H154" s="1" t="s">
        <v>34</v>
      </c>
      <c r="I154" s="1">
        <v>2892.105</v>
      </c>
      <c r="J154" s="1">
        <v>5</v>
      </c>
      <c r="K154" s="1">
        <v>0.1</v>
      </c>
      <c r="L154" s="1">
        <v>160.60499999999999</v>
      </c>
      <c r="M154" s="4" t="str">
        <f t="shared" si="4"/>
        <v>Low</v>
      </c>
      <c r="N154" s="12">
        <f>IF(ISBLANK(I154),AVERAGEIF(Table4[Category],G154,Table4[Sales]),I154)</f>
        <v>2892.105</v>
      </c>
      <c r="O154" s="12">
        <f>IF(ISBLANK(L154),AVERAGEIF(Table4[Order Priority],M154,Table4[Profit]),L154)</f>
        <v>160.60499999999999</v>
      </c>
    </row>
    <row r="155" spans="1:15" ht="31.25" customHeight="1" x14ac:dyDescent="0.45">
      <c r="A155" s="3" t="s">
        <v>480</v>
      </c>
      <c r="B155" s="17">
        <v>41276</v>
      </c>
      <c r="C155" s="17">
        <v>41366</v>
      </c>
      <c r="D155" s="1" t="s">
        <v>193</v>
      </c>
      <c r="E155" s="1" t="s">
        <v>23</v>
      </c>
      <c r="F155" s="1" t="s">
        <v>71</v>
      </c>
      <c r="G155" s="1" t="s">
        <v>17</v>
      </c>
      <c r="H155" s="1" t="s">
        <v>140</v>
      </c>
      <c r="I155" s="1">
        <v>3263.4</v>
      </c>
      <c r="J155" s="1">
        <v>5</v>
      </c>
      <c r="K155" s="1">
        <v>0</v>
      </c>
      <c r="L155" s="1">
        <v>848.4</v>
      </c>
      <c r="M155" s="4" t="str">
        <f t="shared" si="4"/>
        <v>Medium</v>
      </c>
      <c r="N155" s="12">
        <f>IF(ISBLANK(I155),AVERAGEIF(Table4[Category],G155,Table4[Sales]),I155)</f>
        <v>3263.4</v>
      </c>
      <c r="O155" s="12">
        <f>IF(ISBLANK(L155),AVERAGEIF(Table4[Order Priority],M155,Table4[Profit]),L155)</f>
        <v>848.4</v>
      </c>
    </row>
    <row r="156" spans="1:15" ht="31.25" customHeight="1" x14ac:dyDescent="0.45">
      <c r="A156" s="3" t="s">
        <v>397</v>
      </c>
      <c r="B156" s="17" t="s">
        <v>448</v>
      </c>
      <c r="C156" s="17" t="s">
        <v>399</v>
      </c>
      <c r="D156" s="1" t="s">
        <v>349</v>
      </c>
      <c r="E156" s="1" t="s">
        <v>40</v>
      </c>
      <c r="F156" s="1" t="s">
        <v>182</v>
      </c>
      <c r="G156" s="1" t="s">
        <v>45</v>
      </c>
      <c r="H156" s="1" t="s">
        <v>27</v>
      </c>
      <c r="I156" s="1">
        <v>46</v>
      </c>
      <c r="J156" s="1">
        <v>4</v>
      </c>
      <c r="K156" s="1">
        <v>0</v>
      </c>
      <c r="L156" s="1">
        <v>20.7</v>
      </c>
      <c r="M156" s="4" t="str">
        <f t="shared" si="4"/>
        <v>Low</v>
      </c>
      <c r="N156" s="13">
        <f>IF(ISBLANK(I156),AVERAGEIF(Table4[Category],G156,Table4[Sales]),I156)</f>
        <v>46</v>
      </c>
      <c r="O156" s="13">
        <f>IF(ISBLANK(L156),AVERAGEIF(Table4[Order Priority],M156,Table4[Profit]),L156)</f>
        <v>20.7</v>
      </c>
    </row>
    <row r="157" spans="1:15" ht="31.25" customHeight="1" x14ac:dyDescent="0.45">
      <c r="A157" s="3" t="s">
        <v>452</v>
      </c>
      <c r="B157" s="17">
        <v>42251</v>
      </c>
      <c r="C157" s="17" t="s">
        <v>453</v>
      </c>
      <c r="D157" s="1" t="s">
        <v>454</v>
      </c>
      <c r="E157" s="1" t="s">
        <v>455</v>
      </c>
      <c r="F157" s="1" t="s">
        <v>102</v>
      </c>
      <c r="G157" s="1" t="s">
        <v>33</v>
      </c>
      <c r="H157" s="1" t="s">
        <v>27</v>
      </c>
      <c r="I157" s="1">
        <v>3117.0880000000002</v>
      </c>
      <c r="J157" s="1">
        <v>13</v>
      </c>
      <c r="K157" s="1">
        <v>0.2</v>
      </c>
      <c r="L157" s="1">
        <v>38.948</v>
      </c>
      <c r="M157" s="4" t="str">
        <f t="shared" si="4"/>
        <v>Low</v>
      </c>
      <c r="N157" s="12">
        <f>IF(ISBLANK(I157),AVERAGEIF(Table4[Category],G157,Table4[Sales]),I157)</f>
        <v>3117.0880000000002</v>
      </c>
      <c r="O157" s="12">
        <f>IF(ISBLANK(L157),AVERAGEIF(Table4[Order Priority],M157,Table4[Profit]),L157)</f>
        <v>38.948</v>
      </c>
    </row>
    <row r="158" spans="1:15" ht="31.25" customHeight="1" x14ac:dyDescent="0.45">
      <c r="A158" s="3" t="s">
        <v>456</v>
      </c>
      <c r="B158" s="17" t="s">
        <v>457</v>
      </c>
      <c r="C158" s="17">
        <v>41738</v>
      </c>
      <c r="D158" s="1" t="s">
        <v>349</v>
      </c>
      <c r="E158" s="1" t="s">
        <v>40</v>
      </c>
      <c r="F158" s="1" t="s">
        <v>120</v>
      </c>
      <c r="G158" s="1" t="s">
        <v>45</v>
      </c>
      <c r="H158" s="1" t="s">
        <v>178</v>
      </c>
      <c r="I158" s="1">
        <v>27.93</v>
      </c>
      <c r="J158" s="1">
        <v>3</v>
      </c>
      <c r="K158" s="1">
        <v>0</v>
      </c>
      <c r="L158" s="1">
        <v>8.0997000000000003</v>
      </c>
      <c r="M158" s="4" t="str">
        <f t="shared" si="4"/>
        <v>Low</v>
      </c>
      <c r="N158" s="12">
        <f>IF(ISBLANK(I158),AVERAGEIF(Table4[Category],G158,Table4[Sales]),I158)</f>
        <v>27.93</v>
      </c>
      <c r="O158" s="12">
        <f>IF(ISBLANK(L158),AVERAGEIF(Table4[Order Priority],M158,Table4[Profit]),L158)</f>
        <v>8.0997000000000003</v>
      </c>
    </row>
    <row r="159" spans="1:15" ht="31.25" customHeight="1" x14ac:dyDescent="0.45">
      <c r="A159" s="3" t="s">
        <v>458</v>
      </c>
      <c r="B159" s="17" t="s">
        <v>459</v>
      </c>
      <c r="C159" s="17" t="s">
        <v>460</v>
      </c>
      <c r="D159" s="1" t="s">
        <v>461</v>
      </c>
      <c r="E159" s="1" t="s">
        <v>101</v>
      </c>
      <c r="F159" s="1" t="s">
        <v>102</v>
      </c>
      <c r="G159" s="1" t="s">
        <v>45</v>
      </c>
      <c r="H159" s="1" t="s">
        <v>44</v>
      </c>
      <c r="I159" s="1">
        <v>1888.7</v>
      </c>
      <c r="J159" s="1">
        <v>5</v>
      </c>
      <c r="K159" s="1">
        <v>0</v>
      </c>
      <c r="L159" s="1">
        <v>887.6</v>
      </c>
      <c r="M159" s="4" t="str">
        <f t="shared" si="4"/>
        <v>Medium</v>
      </c>
      <c r="N159" s="13">
        <f>IF(ISBLANK(I159),AVERAGEIF(Table4[Category],G159,Table4[Sales]),I159)</f>
        <v>1888.7</v>
      </c>
      <c r="O159" s="13">
        <f>IF(ISBLANK(L159),AVERAGEIF(Table4[Order Priority],M159,Table4[Profit]),L159)</f>
        <v>887.6</v>
      </c>
    </row>
    <row r="160" spans="1:15" ht="31.25" customHeight="1" x14ac:dyDescent="0.45">
      <c r="A160" s="3" t="s">
        <v>462</v>
      </c>
      <c r="B160" s="17">
        <v>41680</v>
      </c>
      <c r="C160" s="17">
        <v>41739</v>
      </c>
      <c r="D160" s="1" t="s">
        <v>463</v>
      </c>
      <c r="E160" s="1" t="s">
        <v>65</v>
      </c>
      <c r="F160" s="1" t="s">
        <v>93</v>
      </c>
      <c r="G160" s="1" t="s">
        <v>45</v>
      </c>
      <c r="H160" s="1" t="s">
        <v>140</v>
      </c>
      <c r="I160" s="1">
        <v>3000.78</v>
      </c>
      <c r="J160" s="1">
        <v>6</v>
      </c>
      <c r="K160" s="1">
        <v>0</v>
      </c>
      <c r="L160" s="1">
        <v>1080.18</v>
      </c>
      <c r="M160" s="4" t="str">
        <f t="shared" si="4"/>
        <v>High</v>
      </c>
      <c r="N160" s="12">
        <f>IF(ISBLANK(I160),AVERAGEIF(Table4[Category],G160,Table4[Sales]),I160)</f>
        <v>3000.78</v>
      </c>
      <c r="O160" s="12">
        <f>IF(ISBLANK(L160),AVERAGEIF(Table4[Order Priority],M160,Table4[Profit]),L160)</f>
        <v>1080.18</v>
      </c>
    </row>
    <row r="161" spans="1:15" ht="31.25" customHeight="1" x14ac:dyDescent="0.45">
      <c r="A161" s="3" t="s">
        <v>464</v>
      </c>
      <c r="B161" s="17">
        <v>41974</v>
      </c>
      <c r="C161" s="17" t="s">
        <v>465</v>
      </c>
      <c r="D161" s="1" t="s">
        <v>476</v>
      </c>
      <c r="E161" s="1" t="s">
        <v>241</v>
      </c>
      <c r="F161" s="1" t="s">
        <v>79</v>
      </c>
      <c r="G161" s="1" t="s">
        <v>45</v>
      </c>
      <c r="H161" s="1" t="s">
        <v>75</v>
      </c>
      <c r="I161" s="1">
        <v>3801.63</v>
      </c>
      <c r="J161" s="1">
        <v>7</v>
      </c>
      <c r="K161" s="1">
        <v>0</v>
      </c>
      <c r="L161" s="1">
        <v>1444.59</v>
      </c>
      <c r="M161" s="4" t="str">
        <f t="shared" si="4"/>
        <v>High</v>
      </c>
      <c r="N161" s="12">
        <f>IF(ISBLANK(I161),AVERAGEIF(Table4[Category],G161,Table4[Sales]),I161)</f>
        <v>3801.63</v>
      </c>
      <c r="O161" s="12">
        <f>IF(ISBLANK(L161),AVERAGEIF(Table4[Order Priority],M161,Table4[Profit]),L161)</f>
        <v>1444.59</v>
      </c>
    </row>
    <row r="162" spans="1:15" ht="31.25" customHeight="1" x14ac:dyDescent="0.45">
      <c r="A162" s="3" t="s">
        <v>466</v>
      </c>
      <c r="B162" s="17" t="s">
        <v>467</v>
      </c>
      <c r="C162" s="17" t="s">
        <v>468</v>
      </c>
      <c r="D162" s="1" t="s">
        <v>469</v>
      </c>
      <c r="E162" s="1" t="s">
        <v>55</v>
      </c>
      <c r="F162" s="1" t="s">
        <v>56</v>
      </c>
      <c r="G162" s="1" t="s">
        <v>17</v>
      </c>
      <c r="H162" s="1" t="s">
        <v>75</v>
      </c>
      <c r="I162" s="1">
        <v>5211.12</v>
      </c>
      <c r="J162" s="1">
        <v>8</v>
      </c>
      <c r="K162" s="1">
        <v>0</v>
      </c>
      <c r="L162" s="1">
        <v>1146.24</v>
      </c>
      <c r="M162" s="4" t="str">
        <f t="shared" ref="M162:M166" si="5">IF(L162&gt;1000,"High",IF(L162&gt;=500,"Medium",IF(L162&lt;=0,"Critical","Low")))</f>
        <v>High</v>
      </c>
      <c r="N162" s="13">
        <f>IF(ISBLANK(I162),AVERAGEIF(Table4[Category],G162,Table4[Sales]),I162)</f>
        <v>5211.12</v>
      </c>
      <c r="O162" s="13">
        <f>IF(ISBLANK(L162),AVERAGEIF(Table4[Order Priority],M162,Table4[Profit]),L162)</f>
        <v>1146.24</v>
      </c>
    </row>
    <row r="163" spans="1:15" ht="31.25" customHeight="1" x14ac:dyDescent="0.45">
      <c r="A163" s="3" t="s">
        <v>106</v>
      </c>
      <c r="B163" s="17" t="s">
        <v>107</v>
      </c>
      <c r="C163" s="17" t="s">
        <v>108</v>
      </c>
      <c r="D163" s="1" t="s">
        <v>109</v>
      </c>
      <c r="E163" s="1" t="s">
        <v>110</v>
      </c>
      <c r="F163" s="2" t="s">
        <v>93</v>
      </c>
      <c r="G163" s="1" t="s">
        <v>17</v>
      </c>
      <c r="H163" s="1" t="s">
        <v>75</v>
      </c>
      <c r="I163" s="1">
        <v>1356.03</v>
      </c>
      <c r="J163" s="1">
        <v>3</v>
      </c>
      <c r="K163" s="1">
        <v>0</v>
      </c>
      <c r="L163" s="1">
        <v>311.85000000000002</v>
      </c>
      <c r="M163" s="4" t="str">
        <f t="shared" si="5"/>
        <v>Low</v>
      </c>
      <c r="N163" s="12">
        <f>IF(ISBLANK(I163),AVERAGEIF(Table4[Category],G163,Table4[Sales]),I163)</f>
        <v>1356.03</v>
      </c>
      <c r="O163" s="12">
        <f>IF(ISBLANK(L163),AVERAGEIF(Table4[Order Priority],M163,Table4[Profit]),L163)</f>
        <v>311.85000000000002</v>
      </c>
    </row>
    <row r="164" spans="1:15" ht="31.25" customHeight="1" x14ac:dyDescent="0.45">
      <c r="A164" s="3" t="s">
        <v>470</v>
      </c>
      <c r="B164" s="17" t="s">
        <v>471</v>
      </c>
      <c r="C164" s="17" t="s">
        <v>392</v>
      </c>
      <c r="D164" s="1" t="s">
        <v>472</v>
      </c>
      <c r="E164" s="1" t="s">
        <v>15</v>
      </c>
      <c r="F164" s="1" t="s">
        <v>16</v>
      </c>
      <c r="G164" s="1" t="s">
        <v>45</v>
      </c>
      <c r="H164" s="1" t="s">
        <v>27</v>
      </c>
      <c r="I164" s="1"/>
      <c r="J164" s="1">
        <v>7</v>
      </c>
      <c r="K164" s="1">
        <v>0.1</v>
      </c>
      <c r="L164" s="1">
        <v>674.16300000000001</v>
      </c>
      <c r="M164" s="4" t="str">
        <f t="shared" si="5"/>
        <v>Medium</v>
      </c>
      <c r="N164" s="12">
        <f>IF(ISBLANK(I164),AVERAGEIF(Table4[Category],G164,Table4[Sales]),I164)</f>
        <v>1621.4477189189192</v>
      </c>
      <c r="O164" s="12">
        <f>IF(ISBLANK(L164),AVERAGEIF(Table4[Order Priority],M164,Table4[Profit]),L164)</f>
        <v>674.16300000000001</v>
      </c>
    </row>
    <row r="165" spans="1:15" ht="31.25" customHeight="1" x14ac:dyDescent="0.45">
      <c r="A165" s="3" t="s">
        <v>473</v>
      </c>
      <c r="B165" s="17" t="s">
        <v>296</v>
      </c>
      <c r="C165" s="17" t="s">
        <v>474</v>
      </c>
      <c r="D165" s="1" t="s">
        <v>349</v>
      </c>
      <c r="E165" s="1" t="s">
        <v>40</v>
      </c>
      <c r="F165" s="1" t="s">
        <v>43</v>
      </c>
      <c r="G165" s="1" t="s">
        <v>45</v>
      </c>
      <c r="H165" s="1" t="s">
        <v>44</v>
      </c>
      <c r="I165" s="1">
        <v>18.54</v>
      </c>
      <c r="J165" s="1">
        <v>2</v>
      </c>
      <c r="K165" s="1">
        <v>0</v>
      </c>
      <c r="L165" s="1">
        <v>8.7138000000000009</v>
      </c>
      <c r="M165" s="4" t="str">
        <f t="shared" si="5"/>
        <v>Low</v>
      </c>
      <c r="N165" s="13">
        <f>IF(ISBLANK(I165),AVERAGEIF(Table4[Category],G165,Table4[Sales]),I165)</f>
        <v>18.54</v>
      </c>
      <c r="O165" s="13">
        <f>IF(ISBLANK(L165),AVERAGEIF(Table4[Order Priority],M165,Table4[Profit]),L165)</f>
        <v>8.7138000000000009</v>
      </c>
    </row>
    <row r="166" spans="1:15" ht="31.25" customHeight="1" x14ac:dyDescent="0.45">
      <c r="A166" s="5" t="s">
        <v>479</v>
      </c>
      <c r="B166" s="18">
        <v>42254</v>
      </c>
      <c r="C166" s="18" t="s">
        <v>475</v>
      </c>
      <c r="D166" s="1" t="s">
        <v>476</v>
      </c>
      <c r="E166" s="6" t="s">
        <v>161</v>
      </c>
      <c r="F166" s="6" t="s">
        <v>162</v>
      </c>
      <c r="G166" s="6" t="s">
        <v>33</v>
      </c>
      <c r="H166" s="6" t="s">
        <v>75</v>
      </c>
      <c r="I166" s="6">
        <v>2910.0816</v>
      </c>
      <c r="J166" s="6">
        <v>8</v>
      </c>
      <c r="K166" s="6">
        <v>7.0000000000000007E-2</v>
      </c>
      <c r="L166" s="6">
        <v>125.1216</v>
      </c>
      <c r="M166" s="4" t="str">
        <f t="shared" si="5"/>
        <v>Low</v>
      </c>
      <c r="N166" s="12">
        <f>IF(ISBLANK(I166),AVERAGEIF(Table4[Category],G166,Table4[Sales]),I166)</f>
        <v>2910.0816</v>
      </c>
      <c r="O166" s="12">
        <f>IF(ISBLANK(L166),AVERAGEIF(Table4[Order Priority],M166,Table4[Profit]),L166)</f>
        <v>125.1216</v>
      </c>
    </row>
  </sheetData>
  <conditionalFormatting sqref="M1:M1048576">
    <cfRule type="containsText" dxfId="1" priority="1" operator="containsText" text="critical">
      <formula>NOT(ISERROR(SEARCH("critical",M1)))</formula>
    </cfRule>
    <cfRule type="containsText" dxfId="0" priority="2" operator="containsText" text="low">
      <formula>NOT(ISERROR(SEARCH("low",M1)))</formula>
    </cfRule>
    <cfRule type="colorScale" priority="18">
      <colorScale>
        <cfvo type="min"/>
        <cfvo type="max"/>
        <color rgb="FFF8696B"/>
        <color rgb="FFFCFCFF"/>
      </colorScale>
    </cfRule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  <cfRule type="iconSet" priority="20">
      <iconSet iconSet="3Symbols">
        <cfvo type="percent" val="0"/>
        <cfvo type="percent" val="33"/>
        <cfvo type="percent" val="67"/>
      </iconSet>
    </cfRule>
  </conditionalFormatting>
  <conditionalFormatting sqref="M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O104857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206ECA57-29F0-4D8D-8C93-BCB59AACBAF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0EAA50-0F16-4C30-85BD-F34A241DAA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SIVAPRAKASH</dc:creator>
  <cp:lastModifiedBy>siva prakasam</cp:lastModifiedBy>
  <dcterms:created xsi:type="dcterms:W3CDTF">2025-10-16T03:35:34Z</dcterms:created>
  <dcterms:modified xsi:type="dcterms:W3CDTF">2025-11-14T07:55:32Z</dcterms:modified>
</cp:coreProperties>
</file>