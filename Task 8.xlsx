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20" documentId="8_{B0F6B1CC-1C6B-44E6-968F-33E5DF2B6752}" xr6:coauthVersionLast="47" xr6:coauthVersionMax="47" xr10:uidLastSave="{1E5BBF1B-6A7A-42AF-B1A7-EC91B5BFEF41}"/>
  <bookViews>
    <workbookView xWindow="-98" yWindow="-98" windowWidth="19396" windowHeight="11475" xr2:uid="{00000000-000D-0000-FFFF-FFFF00000000}"/>
  </bookViews>
  <sheets>
    <sheet name="Day 8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2" i="3"/>
  <c r="Q3" i="3"/>
  <c r="Q4" i="3"/>
  <c r="Q5" i="3"/>
  <c r="Q6" i="3"/>
  <c r="Q7" i="3"/>
  <c r="Q8" i="3"/>
  <c r="Q9" i="3"/>
  <c r="Q10" i="3"/>
  <c r="Q12" i="3"/>
  <c r="Q13" i="3"/>
  <c r="Q14" i="3"/>
  <c r="Q16" i="3"/>
  <c r="Q17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6" i="3"/>
  <c r="Q47" i="3"/>
  <c r="Q48" i="3"/>
  <c r="Q49" i="3"/>
  <c r="Q51" i="3"/>
  <c r="Q52" i="3"/>
  <c r="Q54" i="3"/>
  <c r="Q55" i="3"/>
  <c r="Q57" i="3"/>
  <c r="Q58" i="3"/>
  <c r="Q59" i="3"/>
  <c r="Q60" i="3"/>
  <c r="Q61" i="3"/>
  <c r="Q62" i="3"/>
  <c r="Q63" i="3"/>
  <c r="Q64" i="3"/>
  <c r="Q65" i="3"/>
  <c r="Q66" i="3"/>
  <c r="Q67" i="3"/>
  <c r="Q68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90" i="3"/>
  <c r="Q91" i="3"/>
  <c r="Q92" i="3"/>
  <c r="Q93" i="3"/>
  <c r="Q94" i="3"/>
  <c r="Q95" i="3"/>
  <c r="Q96" i="3"/>
  <c r="Q97" i="3"/>
  <c r="Q98" i="3"/>
  <c r="Q99" i="3"/>
  <c r="Q101" i="3"/>
  <c r="Q102" i="3"/>
  <c r="Q103" i="3"/>
  <c r="Q104" i="3"/>
  <c r="Q105" i="3"/>
  <c r="Q106" i="3"/>
  <c r="Q107" i="3"/>
  <c r="Q108" i="3"/>
  <c r="Q109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8" i="3"/>
  <c r="Q139" i="3"/>
  <c r="Q140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2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S3" i="3"/>
  <c r="S2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" i="3"/>
  <c r="P17" i="3"/>
  <c r="P18" i="3"/>
  <c r="P19" i="3"/>
  <c r="P20" i="3"/>
  <c r="P21" i="3"/>
  <c r="P22" i="3"/>
  <c r="P23" i="3"/>
  <c r="P24" i="3"/>
  <c r="P25" i="3"/>
  <c r="P11" i="3"/>
  <c r="P12" i="3"/>
  <c r="P13" i="3"/>
  <c r="P14" i="3"/>
  <c r="P15" i="3"/>
  <c r="P6" i="3"/>
  <c r="P7" i="3"/>
  <c r="P8" i="3"/>
  <c r="P9" i="3"/>
  <c r="P10" i="3"/>
  <c r="P3" i="3"/>
  <c r="P4" i="3"/>
  <c r="P5" i="3"/>
  <c r="P2" i="3"/>
  <c r="Q137" i="3" l="1"/>
  <c r="Q110" i="3"/>
  <c r="Q141" i="3"/>
  <c r="Q69" i="3"/>
  <c r="Q53" i="3"/>
  <c r="Q45" i="3"/>
  <c r="Q11" i="3"/>
  <c r="Q100" i="3"/>
  <c r="Q50" i="3"/>
  <c r="Q18" i="3"/>
  <c r="Q89" i="3"/>
  <c r="Q56" i="3"/>
  <c r="Q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E840B-764C-422E-9FB8-783E626EADBB}" keepAlive="1" name="Query - Table4" description="Connection to the 'Table4' query in the workbook." type="5" refreshedVersion="0" background="1" saveData="1">
    <dbPr connection="Provider=Microsoft.Mashup.OleDb.1;Data Source=$Workbook$;Location=Table4;Extended Properties=&quot;&quot;" command="SELECT * FROM [Table4]"/>
  </connection>
  <connection id="2" xr16:uid="{D7B0EAC8-E143-482C-A66B-1A8911784A64}" keepAlive="1" name="Query - Table4 (2)" description="Connection to the 'Table4 (2)' query in the workbook." type="5" refreshedVersion="0" background="1">
    <dbPr connection="Provider=Microsoft.Mashup.OleDb.1;Data Source=$Workbook$;Location=&quot;Table4 (2)&quot;;Extended Properties=&quot;&quot;" command="SELECT * FROM [Table4 (2)]"/>
  </connection>
  <connection id="3" xr16:uid="{CEDBEBCD-A497-49A5-9437-108A701E6936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<sst xmlns="http://schemas.openxmlformats.org/spreadsheetml/2006/main" count="1379" uniqueCount="588">
  <si>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</si>
  <si>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</si>
  <si>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</si>
  <si>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</si>
  <si>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</si>
  <si>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</si>
  <si>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</si>
  <si>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</si>
  <si>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</si>
  <si>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</si>
  <si>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</si>
  <si>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</si>
  <si>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</si>
  <si>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</si>
  <si>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</si>
  <si>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</si>
  <si>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</si>
  <si>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</si>
  <si>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</si>
  <si>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</si>
  <si>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</si>
  <si>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</si>
  <si>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</si>
  <si>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</si>
  <si>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</si>
  <si>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</si>
  <si>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</si>
  <si>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</si>
  <si>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</si>
  <si>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</si>
  <si>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</si>
  <si>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</si>
  <si>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</si>
  <si>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</si>
  <si>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</si>
  <si>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</si>
  <si>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</si>
  <si>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</si>
  <si>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</si>
  <si>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</si>
  <si>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</si>
  <si>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</si>
  <si>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</si>
  <si>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</si>
  <si>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</si>
  <si>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</si>
  <si>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</si>
  <si>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</si>
  <si>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</si>
  <si>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</si>
  <si>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</si>
  <si>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</si>
  <si>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</si>
  <si>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</si>
  <si>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</si>
  <si>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</si>
  <si>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</si>
  <si>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</si>
  <si>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</si>
  <si>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</si>
  <si>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</si>
  <si>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</si>
  <si>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</si>
  <si>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</si>
  <si>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</si>
  <si>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</si>
  <si>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</si>
  <si>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</si>
  <si>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</si>
  <si>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</si>
  <si>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</si>
  <si>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</si>
  <si>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</si>
  <si>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</si>
  <si>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</si>
  <si>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</si>
  <si>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</si>
  <si>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</si>
  <si>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</si>
  <si>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</si>
  <si>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</si>
  <si>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</si>
  <si>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</si>
  <si>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</si>
  <si>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</si>
  <si>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</si>
  <si>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</si>
  <si>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</si>
  <si>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</si>
  <si>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</si>
  <si>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</si>
  <si>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</si>
  <si>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</si>
  <si>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</si>
  <si>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</si>
  <si>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</si>
  <si>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</si>
  <si>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</si>
  <si>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</si>
  <si>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</si>
  <si>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</si>
  <si>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</si>
  <si>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</si>
  <si>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</si>
  <si>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</si>
  <si>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</si>
  <si>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</si>
  <si>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</si>
  <si>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</si>
  <si>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</si>
  <si>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</si>
  <si>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</si>
  <si>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</si>
  <si>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</si>
  <si>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</si>
  <si>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</si>
  <si>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</si>
  <si>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</si>
  <si>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</si>
  <si>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</si>
  <si>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</si>
  <si>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</si>
  <si>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</si>
  <si>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</si>
  <si>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</si>
  <si>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</si>
  <si>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</si>
  <si>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</si>
  <si>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</si>
  <si>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</si>
  <si>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</si>
  <si>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</si>
  <si>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</si>
  <si>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</si>
  <si>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</si>
  <si>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</si>
  <si>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</si>
  <si>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</si>
  <si>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</si>
  <si>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</si>
  <si>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</si>
  <si>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</si>
  <si>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</si>
  <si>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</si>
  <si>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</si>
  <si>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</si>
  <si>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</si>
  <si>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</si>
  <si>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</si>
  <si>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</si>
  <si>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</si>
  <si>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</si>
  <si>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</si>
  <si>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</si>
  <si>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</si>
  <si>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</si>
  <si>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</si>
  <si>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</si>
  <si>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</si>
  <si>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</si>
  <si>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</si>
  <si>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</si>
  <si>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</si>
  <si>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</si>
  <si>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</si>
  <si>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</si>
  <si>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</si>
  <si>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</si>
  <si>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</si>
  <si>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</si>
  <si>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</si>
  <si>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</si>
  <si>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</si>
  <si>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</si>
  <si>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</si>
  <si>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</si>
  <si>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</si>
  <si>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9/22/12 0:00</t>
  </si>
  <si>
    <t>9/24/12 0:00</t>
  </si>
  <si>
    <t>Zuschuss 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</si>
  <si>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</si>
  <si>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</si>
  <si>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</si>
  <si>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</si>
  <si>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</si>
  <si>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</si>
  <si>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</si>
  <si>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IN-2015-AP1091527-42244</t>
  </si>
  <si>
    <t>8/28/15 0:00</t>
  </si>
  <si>
    <t>8/29/15 0:00</t>
  </si>
  <si>
    <t>Arthur Prichep</t>
  </si>
  <si>
    <t>IN-2015-SW2027558-42125</t>
  </si>
  <si>
    <t>Scott Williamson</t>
  </si>
  <si>
    <t>MX-2015-JH15820141-42356</t>
  </si>
  <si>
    <t>12/20/15 0:00</t>
  </si>
  <si>
    <t>John Huston</t>
  </si>
  <si>
    <t>Uruguay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</si>
  <si>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</si>
  <si>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</si>
  <si>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</si>
  <si>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</si>
  <si>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</si>
  <si>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</si>
  <si>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</si>
  <si>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</si>
  <si>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Iran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</si>
  <si>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</si>
  <si>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</si>
  <si>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</si>
  <si>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</si>
  <si>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</si>
  <si>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</si>
  <si>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</si>
  <si>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5/31/13 0:00</t>
  </si>
  <si>
    <t>Sheri Gordon</t>
  </si>
  <si>
    <t>Eastern US#</t>
  </si>
  <si>
    <t>IN-2013-GP1474058-41419</t>
  </si>
  <si>
    <t>5/25/13 0:00</t>
  </si>
  <si>
    <t>5/28/13 0:00</t>
  </si>
  <si>
    <t>Guy Phonely</t>
  </si>
  <si>
    <t>IN-2015-MW182207-42221</t>
  </si>
  <si>
    <t>Mitch Webber</t>
  </si>
  <si>
    <t>5/18/12 0:00</t>
  </si>
  <si>
    <t>IN-2015-CS1246011-42074</t>
  </si>
  <si>
    <t>Chuck Sachs</t>
  </si>
  <si>
    <t>Bangladesh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</si>
  <si>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</si>
  <si>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</si>
  <si>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</si>
  <si>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</si>
  <si>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</si>
  <si>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</si>
  <si>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</si>
  <si>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</si>
  <si>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</si>
  <si>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</si>
  <si>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</si>
  <si>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</si>
  <si>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</si>
  <si>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</si>
  <si>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</si>
  <si>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</si>
  <si>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</si>
  <si>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</si>
  <si>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</si>
  <si>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</si>
  <si>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</si>
  <si>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11/20/15 0:00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</si>
  <si>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</si>
  <si>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</si>
  <si>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</si>
  <si>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</si>
  <si>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</si>
  <si>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</si>
  <si>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</si>
  <si>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</si>
  <si>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</si>
  <si>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11/21/12 0:00</t>
  </si>
  <si>
    <t>11/22/12 0:00</t>
  </si>
  <si>
    <t>Shui Tom</t>
  </si>
  <si>
    <t>Nicaragua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</si>
  <si>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</si>
  <si>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</si>
  <si>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</si>
  <si>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</si>
  <si>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</si>
  <si>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</si>
  <si>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</si>
  <si>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Laura Armstrong</t>
  </si>
  <si>
    <t>ES-2013-AB10150139-41537</t>
  </si>
  <si>
    <t>9/20/13 0:00</t>
  </si>
  <si>
    <t>9/22/13 0:00</t>
  </si>
  <si>
    <t>Aimee Bixby</t>
  </si>
  <si>
    <t>IN-2015-JH158207-42140</t>
  </si>
  <si>
    <t>5/16/15 0:00</t>
  </si>
  <si>
    <t>5/18/15 0:00</t>
  </si>
  <si>
    <t>ES-2014-BE1141048-41967</t>
  </si>
  <si>
    <t>11/24/14 0:00</t>
  </si>
  <si>
    <t>11/25/14 0:00</t>
  </si>
  <si>
    <t>Bobby Elias</t>
  </si>
  <si>
    <t>Technology#</t>
  </si>
  <si>
    <t>IN-2012-SZ2003527-41221</t>
  </si>
  <si>
    <t>Sam Zeldin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</si>
  <si>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</si>
  <si>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</si>
  <si>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</si>
  <si>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</si>
  <si>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</si>
  <si>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</si>
  <si>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</si>
  <si>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</si>
  <si>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</si>
  <si>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</si>
  <si>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</si>
  <si>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</si>
  <si>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</si>
  <si>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1/29/14 0:00</t>
  </si>
  <si>
    <t>ID-2013-AM1070559-41535</t>
  </si>
  <si>
    <t>9/18/13 0:00</t>
  </si>
  <si>
    <t>9/21/13 0:00</t>
  </si>
  <si>
    <t>Anne McFarland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</si>
  <si>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</si>
  <si>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</si>
  <si>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</si>
  <si>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</si>
  <si>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</si>
  <si>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</si>
  <si>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</si>
  <si>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</si>
  <si>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Berenike 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</si>
  <si>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</si>
  <si>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</si>
  <si>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</si>
  <si>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</si>
  <si>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</si>
  <si>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</si>
  <si>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</si>
  <si>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</si>
  <si>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</si>
  <si>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IN-2013-NC186257-41401</t>
  </si>
  <si>
    <t>Noah Childs</t>
  </si>
  <si>
    <t>Furniutre</t>
  </si>
  <si>
    <t>11/27/14 0:00</t>
  </si>
  <si>
    <t>11/29/14 0:00</t>
  </si>
  <si>
    <t>Natalie 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</si>
  <si>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</si>
  <si>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</si>
  <si>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</si>
  <si>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</si>
  <si>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</si>
  <si>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</si>
  <si>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ES-2014-MZ1733545-41885</t>
  </si>
  <si>
    <t>Maria Zettner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</si>
  <si>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</si>
  <si>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</si>
  <si>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</si>
  <si>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</si>
  <si>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</si>
  <si>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</si>
  <si>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</si>
  <si>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</si>
  <si>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</si>
  <si>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</si>
  <si>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</si>
  <si>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</si>
  <si>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</si>
  <si>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</si>
  <si>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</si>
  <si>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</si>
  <si>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</si>
  <si>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</si>
  <si>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</si>
  <si>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</si>
  <si>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</si>
  <si>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</si>
  <si>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</si>
  <si>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</si>
  <si>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</si>
  <si>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</si>
  <si>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</si>
  <si>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</si>
  <si>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</si>
  <si>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</si>
  <si>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</si>
  <si>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</si>
  <si>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</si>
  <si>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</si>
  <si>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</si>
  <si>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</si>
  <si>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</si>
  <si>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</si>
  <si>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</si>
  <si>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</si>
  <si>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</si>
  <si>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</si>
  <si>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</si>
  <si>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</si>
  <si>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</si>
  <si>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</si>
  <si>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</si>
  <si>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</si>
  <si>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</si>
  <si>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</si>
  <si>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</si>
  <si>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</si>
  <si>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</si>
  <si>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Storage</t>
  </si>
  <si>
    <t>IN-2014-CM121157-41913</t>
  </si>
  <si>
    <t>Chad McGuire</t>
  </si>
  <si>
    <t>CA-2015-AB10060140-42315</t>
  </si>
  <si>
    <t>11/14/15 0:00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</si>
  <si>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</si>
  <si>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</si>
  <si>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</si>
  <si>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</si>
  <si>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</si>
  <si>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</si>
  <si>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</si>
  <si>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</si>
  <si>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</si>
  <si>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</si>
  <si>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3/19/14 0:00</t>
  </si>
  <si>
    <t>Gary McGarr</t>
  </si>
  <si>
    <t>Ecuador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</si>
  <si>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</si>
  <si>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</si>
  <si>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</si>
  <si>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</si>
  <si>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</si>
  <si>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</si>
  <si>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</si>
  <si>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</si>
  <si>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</si>
  <si>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</si>
  <si>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</si>
  <si>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</si>
  <si>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</si>
  <si>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</si>
  <si>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</si>
  <si>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</si>
  <si>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</si>
  <si>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</si>
  <si>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</si>
  <si>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</si>
  <si>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</si>
  <si>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</si>
  <si>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</si>
  <si>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</si>
  <si>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</si>
  <si>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</si>
  <si>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</si>
  <si>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</si>
  <si>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</si>
  <si>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</si>
  <si>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</si>
  <si>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</si>
  <si>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</si>
  <si>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</si>
  <si>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</si>
  <si>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</si>
  <si>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</si>
  <si>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</si>
  <si>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</si>
  <si>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</si>
  <si>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5/16/12 0:00</t>
  </si>
  <si>
    <t>IT-2012-GM1468091-41215</t>
  </si>
  <si>
    <t>Greg Matthias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</si>
  <si>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</si>
  <si>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</si>
  <si>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</si>
  <si>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</si>
  <si>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</si>
  <si>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</si>
  <si>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</si>
  <si>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MX-2015-DM1295551-42103</t>
  </si>
  <si>
    <t>4/13/15 0:00</t>
  </si>
  <si>
    <t>Dario Medina</t>
  </si>
  <si>
    <t>Guatemala</t>
  </si>
  <si>
    <t>CA-2014-AB10060140-41881</t>
  </si>
  <si>
    <t>8/30/14 0:00</t>
  </si>
  <si>
    <t>MX-2015-BE1133582-42082</t>
  </si>
  <si>
    <t>3/19/15 0:00</t>
  </si>
  <si>
    <t>3/21/15 0:00</t>
  </si>
  <si>
    <t>Bill Eplett</t>
  </si>
  <si>
    <t>IN-2014-SO2033527-41914</t>
  </si>
  <si>
    <t>Sean O'Donnell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</si>
  <si>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</si>
  <si>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</si>
  <si>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</si>
  <si>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</si>
  <si>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</si>
  <si>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</si>
  <si>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IN-2015-CG125207-42077</t>
  </si>
  <si>
    <t>03/14/2015</t>
  </si>
  <si>
    <t>Claire Gute</t>
  </si>
  <si>
    <t>CA-2013-AB10060140-41535</t>
  </si>
  <si>
    <t>9/24/13 0:00</t>
  </si>
  <si>
    <t>7/13/15 0:00</t>
  </si>
  <si>
    <t>Aarom</t>
  </si>
  <si>
    <t>Western Euporen</t>
  </si>
  <si>
    <t>western Eupore</t>
  </si>
  <si>
    <t>Day 8 Task</t>
  </si>
  <si>
    <t>ID-2015-HG1502559-42194</t>
  </si>
  <si>
    <t>ES-2013-JH1582048-41306</t>
  </si>
  <si>
    <t>MX-2015-GM1444037-42265</t>
  </si>
  <si>
    <t>Order number</t>
  </si>
  <si>
    <t>Last Name</t>
  </si>
  <si>
    <t>Reiter</t>
  </si>
  <si>
    <t>Murray</t>
  </si>
  <si>
    <t>Hansen</t>
  </si>
  <si>
    <t>Mitchum</t>
  </si>
  <si>
    <t>Swindell</t>
  </si>
  <si>
    <t>Brown</t>
  </si>
  <si>
    <t>Bergman</t>
  </si>
  <si>
    <t>Jacobs</t>
  </si>
  <si>
    <t>Morse</t>
  </si>
  <si>
    <t>Freymann</t>
  </si>
  <si>
    <t>Fuller</t>
  </si>
  <si>
    <t>Peterman</t>
  </si>
  <si>
    <t>Sink</t>
  </si>
  <si>
    <t>Hightower</t>
  </si>
  <si>
    <t>Blume</t>
  </si>
  <si>
    <t>Klamczynski</t>
  </si>
  <si>
    <t>Beltran</t>
  </si>
  <si>
    <t>Patel</t>
  </si>
  <si>
    <t>Dominguez</t>
  </si>
  <si>
    <t>Breyer</t>
  </si>
  <si>
    <t>Barchas</t>
  </si>
  <si>
    <t>Hawkins</t>
  </si>
  <si>
    <t>Patterson</t>
  </si>
  <si>
    <t>Reed</t>
  </si>
  <si>
    <t>Shonely</t>
  </si>
  <si>
    <t>Poirier</t>
  </si>
  <si>
    <t>Lawera</t>
  </si>
  <si>
    <t>Bell-</t>
  </si>
  <si>
    <t>Franz</t>
  </si>
  <si>
    <t>Grady</t>
  </si>
  <si>
    <t>Tran</t>
  </si>
  <si>
    <t>Carroll</t>
  </si>
  <si>
    <t>sBallard</t>
  </si>
  <si>
    <t>Prichep</t>
  </si>
  <si>
    <t>Williamson</t>
  </si>
  <si>
    <t>Huston</t>
  </si>
  <si>
    <t>Glocke</t>
  </si>
  <si>
    <t>Greer</t>
  </si>
  <si>
    <t>Gordon</t>
  </si>
  <si>
    <t>Phonely</t>
  </si>
  <si>
    <t>Webber</t>
  </si>
  <si>
    <t>Sachs</t>
  </si>
  <si>
    <t>Stewart</t>
  </si>
  <si>
    <t>Carter</t>
  </si>
  <si>
    <t>Blanton</t>
  </si>
  <si>
    <t>Smayling</t>
  </si>
  <si>
    <t>Kipp</t>
  </si>
  <si>
    <t>Sayre</t>
  </si>
  <si>
    <t>Minnotte</t>
  </si>
  <si>
    <t>Wilson</t>
  </si>
  <si>
    <t>Schoenberger</t>
  </si>
  <si>
    <t>Tom</t>
  </si>
  <si>
    <t>Weirich</t>
  </si>
  <si>
    <t>Armstrong</t>
  </si>
  <si>
    <t>Bixby</t>
  </si>
  <si>
    <t>Elias</t>
  </si>
  <si>
    <t>Zeldin</t>
  </si>
  <si>
    <t>Messe</t>
  </si>
  <si>
    <t>Greene</t>
  </si>
  <si>
    <t>McFarland</t>
  </si>
  <si>
    <t>Ballentine</t>
  </si>
  <si>
    <t>Payne</t>
  </si>
  <si>
    <t>Kampe</t>
  </si>
  <si>
    <t>Zandusky</t>
  </si>
  <si>
    <t>Chapman</t>
  </si>
  <si>
    <t>Childs</t>
  </si>
  <si>
    <t>Fritzler</t>
  </si>
  <si>
    <t>MacIntyre</t>
  </si>
  <si>
    <t>Zettner</t>
  </si>
  <si>
    <t>MacAllister</t>
  </si>
  <si>
    <t>Haushalter</t>
  </si>
  <si>
    <t>Hopkins</t>
  </si>
  <si>
    <t>Miller</t>
  </si>
  <si>
    <t>O'Donnell</t>
  </si>
  <si>
    <t>Bellavance</t>
  </si>
  <si>
    <t>Brooks</t>
  </si>
  <si>
    <t>Creighton</t>
  </si>
  <si>
    <t>O'Brian</t>
  </si>
  <si>
    <t>Mull</t>
  </si>
  <si>
    <t>Nelson</t>
  </si>
  <si>
    <t>Sundaresam</t>
  </si>
  <si>
    <t>McGuire</t>
  </si>
  <si>
    <t>Weiss</t>
  </si>
  <si>
    <t>McGarr</t>
  </si>
  <si>
    <t>Van</t>
  </si>
  <si>
    <t>Moore</t>
  </si>
  <si>
    <t>Kriz</t>
  </si>
  <si>
    <t>Hugh</t>
  </si>
  <si>
    <t>Braxton</t>
  </si>
  <si>
    <t>Matthias</t>
  </si>
  <si>
    <t>Harms</t>
  </si>
  <si>
    <t>Pelletier</t>
  </si>
  <si>
    <t>Hazard</t>
  </si>
  <si>
    <t>Roper</t>
  </si>
  <si>
    <t>Fjeld</t>
  </si>
  <si>
    <t>Medina</t>
  </si>
  <si>
    <t>Eplett</t>
  </si>
  <si>
    <t>Carlisle</t>
  </si>
  <si>
    <t>Gute</t>
  </si>
  <si>
    <t>Using Right Function split order Numberin order id</t>
  </si>
  <si>
    <t xml:space="preserve">Using Flash fill split last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</si>
</sst>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4"/>
      <color theme="0"/>
      <name val="Times New Roman"/>
      <family val="1"/>
    </font>
    <font>
      <u/>
      <sz val="12"/>
      <color theme="1"/>
      <name val="Times New Roman"/>
      <family val="1"/>
    </font>
    <font>
      <b/>
      <sz val="14"/>
      <color theme="0"/>
      <name val="Times New Roman"/>
      <family val="1"/>
    </font>
    <font>
      <sz val="12"/>
      <color theme="5" tint="-0.249977111117893"/>
      <name val="Times New Roman"/>
      <family val="1"/>
    </font>
    <font>
      <sz val="12"/>
      <color theme="9" tint="0.59999389629810485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2" fontId="2" fillId="0" borderId="8" xfId="0" applyNumberFormat="1" applyFont="1" applyBorder="1" applyAlignment="1">
      <alignment horizontal="center" vertical="center" wrapText="1"/>
    </xf>
    <xf numFmtId="0" fontId="3" fillId="2" borderId="4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0" fontId="5" fillId="2" borderId="1" xfId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3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</cellXfs>
  <cellStyles count="2">
    <cellStyle name="Accent2" xfId="1" builtinId="33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O166" totalsRowShown="0" headerRowDxfId="19" dataDxfId="17" headerRowBorderDxfId="18" tableBorderDxfId="16" totalsRowBorderDxfId="15" headerRowCellStyle="Accent2">
  <autoFilter ref="A1:O166" xr:uid="{00000000-0009-0000-0100-000004000000}"/>
  <tableColumns count="15">
    <tableColumn id="1" xr3:uid="{00000000-0010-0000-0000-000001000000}" name="Order ID" dataDxfId="14"/>
    <tableColumn id="14" xr3:uid="{049F263E-BA86-4A78-BA1F-93038A0B66B7}" name="Order number" dataDxfId="1">
      <calculatedColumnFormula>RIGHT(A2,5)</calculatedColumnFormula>
    </tableColumn>
    <tableColumn id="2" xr3:uid="{00000000-0010-0000-0000-000002000000}" name="Order Date" dataDxfId="13"/>
    <tableColumn id="3" xr3:uid="{00000000-0010-0000-0000-000003000000}" name="Ship Date" dataDxfId="12"/>
    <tableColumn id="4" xr3:uid="{00000000-0010-0000-0000-000004000000}" name="Customer Name" dataDxfId="11"/>
    <tableColumn id="15" xr3:uid="{463EAE5D-DEF4-4153-92C3-F52BADB659C2}" name="Last Name" dataDxfId="0"/>
    <tableColumn id="5" xr3:uid="{00000000-0010-0000-0000-000005000000}" name="Country" dataDxfId="10"/>
    <tableColumn id="6" xr3:uid="{00000000-0010-0000-0000-000006000000}" name="Region" dataDxfId="9"/>
    <tableColumn id="7" xr3:uid="{00000000-0010-0000-0000-000007000000}" name="Category" dataDxfId="8"/>
    <tableColumn id="8" xr3:uid="{00000000-0010-0000-0000-000008000000}" name="Sub-Category" dataDxfId="7"/>
    <tableColumn id="9" xr3:uid="{00000000-0010-0000-0000-000009000000}" name="Sales" dataDxfId="6"/>
    <tableColumn id="10" xr3:uid="{00000000-0010-0000-0000-00000A000000}" name="Quantity" dataDxfId="5"/>
    <tableColumn id="11" xr3:uid="{00000000-0010-0000-0000-00000B000000}" name="Discount" dataDxfId="4"/>
    <tableColumn id="12" xr3:uid="{00000000-0010-0000-0000-00000C000000}" name="Profit" dataDxfId="3"/>
    <tableColumn id="13" xr3:uid="{00000000-0010-0000-0000-00000D000000}" name="Order Priority" dataDxfId="2">
      <calculatedColumnFormula>IF(N2&gt;1000,"High",IF(N2&gt;=500,"Medium",IF(N2&lt;=0,"Critical","Low")))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6"/>
  <sheetViews>
    <sheetView tabSelected="1" topLeftCell="J1" zoomScaleNormal="100" workbookViewId="0">
      <selection activeCell="S8" sqref="S8"/>
    </sheetView>
  </sheetViews>
  <sheetFormatPr defaultRowHeight="31.25" customHeight="1" x14ac:dyDescent="0.45"/>
  <cols>
    <col min="1" max="2" width="22.73046875" customWidth="1"/>
    <col min="3" max="3" width="17.53125" customWidth="1"/>
    <col min="4" max="4" width="16.06640625" bestFit="1" customWidth="1"/>
    <col min="5" max="6" width="16.06640625" customWidth="1"/>
    <col min="7" max="7" width="11.86328125" customWidth="1"/>
    <col min="8" max="8" width="13.59765625" customWidth="1"/>
    <col min="9" max="9" width="14.796875" customWidth="1"/>
    <col min="10" max="10" width="16.19921875" customWidth="1"/>
    <col min="11" max="11" width="10.86328125" bestFit="1" customWidth="1"/>
    <col min="12" max="12" width="12.06640625" customWidth="1"/>
    <col min="13" max="13" width="11.9296875" bestFit="1" customWidth="1"/>
    <col min="14" max="14" width="12.59765625" customWidth="1"/>
    <col min="15" max="15" width="14.6640625" customWidth="1"/>
    <col min="19" max="19" width="21.265625" customWidth="1"/>
    <col min="20" max="20" width="11.19921875" customWidth="1"/>
  </cols>
  <sheetData>
    <row r="1" spans="1:21" ht="31.25" customHeight="1" x14ac:dyDescent="0.45">
      <c r="A1" s="11" t="s">
        <v>0</v>
      </c>
      <c r="B1" s="11" t="s">
        <v>485</v>
      </c>
      <c r="C1" s="12" t="s">
        <v>1</v>
      </c>
      <c r="D1" s="12" t="s">
        <v>2</v>
      </c>
      <c r="E1" s="12" t="s">
        <v>3</v>
      </c>
      <c r="F1" s="12" t="s">
        <v>486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3" t="s">
        <v>12</v>
      </c>
      <c r="P1" s="14" t="s">
        <v>8</v>
      </c>
      <c r="Q1" s="14" t="s">
        <v>11</v>
      </c>
    </row>
    <row r="2" spans="1:21" ht="31.25" customHeight="1" x14ac:dyDescent="0.45">
      <c r="A2" s="5" t="s">
        <v>13</v>
      </c>
      <c r="B2" s="5" t="str">
        <f>RIGHT(A2,5)</f>
        <v>41929</v>
      </c>
      <c r="C2" s="1" t="s">
        <v>14</v>
      </c>
      <c r="D2" s="1" t="s">
        <v>15</v>
      </c>
      <c r="E2" s="1" t="s">
        <v>16</v>
      </c>
      <c r="F2" s="1" t="s">
        <v>487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5175.1710000000003</v>
      </c>
      <c r="L2" s="1">
        <v>9</v>
      </c>
      <c r="M2" s="1">
        <v>0.1</v>
      </c>
      <c r="N2" s="1">
        <v>919.971</v>
      </c>
      <c r="O2" s="6" t="str">
        <f t="shared" ref="O2:O33" si="0">IF(N2&gt;1000,"High",IF(N2&gt;=500,"Medium",IF(N2&lt;=0,"Critical","Low")))</f>
        <v>Medium</v>
      </c>
      <c r="P2" s="15">
        <f>IF(ISBLANK(K2),AVERAGEIF(Table4[Category],I2,Table4[Sales]),K2)</f>
        <v>5175.1710000000003</v>
      </c>
      <c r="Q2" s="15">
        <f>IF(ISBLANK(N2),AVERAGEIF(Table4[Order Priority],O2,Table4[Profit]),N2)</f>
        <v>919.971</v>
      </c>
      <c r="S2">
        <f>MODE(L:L)</f>
        <v>5</v>
      </c>
    </row>
    <row r="3" spans="1:21" ht="31.25" customHeight="1" x14ac:dyDescent="0.45">
      <c r="A3" s="5" t="s">
        <v>21</v>
      </c>
      <c r="B3" s="5" t="str">
        <f t="shared" ref="B3:B66" si="1">RIGHT(A3,5)</f>
        <v>41667</v>
      </c>
      <c r="C3" s="1" t="s">
        <v>22</v>
      </c>
      <c r="D3" s="1" t="s">
        <v>23</v>
      </c>
      <c r="E3" s="1" t="s">
        <v>24</v>
      </c>
      <c r="F3" s="1" t="s">
        <v>488</v>
      </c>
      <c r="G3" s="1" t="s">
        <v>25</v>
      </c>
      <c r="H3" s="1" t="s">
        <v>480</v>
      </c>
      <c r="I3" s="1" t="s">
        <v>19</v>
      </c>
      <c r="J3" s="1" t="s">
        <v>26</v>
      </c>
      <c r="K3" s="1">
        <v>2892.51</v>
      </c>
      <c r="L3" s="1">
        <v>5</v>
      </c>
      <c r="M3" s="1">
        <v>0.1</v>
      </c>
      <c r="N3" s="1">
        <v>-96.54</v>
      </c>
      <c r="O3" s="6" t="str">
        <f t="shared" si="0"/>
        <v>Critical</v>
      </c>
      <c r="P3" s="16">
        <f>IF(ISBLANK(K3),AVERAGEIF(Table4[Category],I3,Table4[Sales]),K3)</f>
        <v>2892.51</v>
      </c>
      <c r="Q3" s="16">
        <f>IF(ISBLANK(N3),AVERAGEIF(Table4[Order Priority],O3,Table4[Profit]),N3)</f>
        <v>-96.54</v>
      </c>
      <c r="S3">
        <f>MODE(M:M)</f>
        <v>0</v>
      </c>
    </row>
    <row r="4" spans="1:21" ht="31.25" customHeight="1" x14ac:dyDescent="0.45">
      <c r="A4" s="5" t="s">
        <v>391</v>
      </c>
      <c r="B4" s="5" t="str">
        <f t="shared" si="1"/>
        <v>41884</v>
      </c>
      <c r="C4" s="2">
        <v>41770</v>
      </c>
      <c r="D4" s="2">
        <v>41801</v>
      </c>
      <c r="E4" s="4" t="s">
        <v>27</v>
      </c>
      <c r="F4" s="1" t="s">
        <v>489</v>
      </c>
      <c r="G4" s="1" t="s">
        <v>42</v>
      </c>
      <c r="H4" s="1" t="s">
        <v>28</v>
      </c>
      <c r="I4" s="1" t="s">
        <v>19</v>
      </c>
      <c r="J4" s="1" t="s">
        <v>29</v>
      </c>
      <c r="K4" s="1">
        <v>2832.96</v>
      </c>
      <c r="L4" s="1">
        <v>8</v>
      </c>
      <c r="M4" s="1">
        <v>0</v>
      </c>
      <c r="N4" s="1">
        <v>311.52</v>
      </c>
      <c r="O4" s="6" t="str">
        <f t="shared" si="0"/>
        <v>Low</v>
      </c>
      <c r="P4" s="15">
        <f>IF(ISBLANK(K4),AVERAGEIF(Table4[Category],I4,Table4[Sales]),K4)</f>
        <v>2832.96</v>
      </c>
      <c r="Q4" s="15">
        <f>IF(ISBLANK(N4),AVERAGEIF(Table4[Order Priority],O4,Table4[Profit]),N4)</f>
        <v>311.52</v>
      </c>
      <c r="S4" s="18" t="s">
        <v>481</v>
      </c>
      <c r="T4" s="19"/>
      <c r="U4" s="20"/>
    </row>
    <row r="5" spans="1:21" ht="31.25" customHeight="1" x14ac:dyDescent="0.45">
      <c r="A5" s="5" t="s">
        <v>30</v>
      </c>
      <c r="B5" s="5" t="str">
        <f t="shared" si="1"/>
        <v>41818</v>
      </c>
      <c r="C5" s="1" t="s">
        <v>31</v>
      </c>
      <c r="D5" s="2">
        <v>41646</v>
      </c>
      <c r="E5" s="1" t="s">
        <v>32</v>
      </c>
      <c r="F5" s="1" t="s">
        <v>490</v>
      </c>
      <c r="G5" s="1" t="s">
        <v>17</v>
      </c>
      <c r="H5" s="1" t="s">
        <v>18</v>
      </c>
      <c r="I5" s="1" t="s">
        <v>19</v>
      </c>
      <c r="J5" s="1" t="s">
        <v>29</v>
      </c>
      <c r="K5" s="1">
        <v>2862.6750000000002</v>
      </c>
      <c r="L5" s="1">
        <v>5</v>
      </c>
      <c r="M5" s="1">
        <v>0.1</v>
      </c>
      <c r="N5" s="1">
        <v>763.27499999999998</v>
      </c>
      <c r="O5" s="6" t="str">
        <f t="shared" si="0"/>
        <v>Medium</v>
      </c>
      <c r="P5" s="15">
        <f>IF(ISBLANK(K5),AVERAGEIF(Table4[Category],I5,Table4[Sales]),K5)</f>
        <v>2862.6750000000002</v>
      </c>
      <c r="Q5" s="15">
        <f>IF(ISBLANK(N5),AVERAGEIF(Table4[Order Priority],O5,Table4[Profit]),N5)</f>
        <v>763.27499999999998</v>
      </c>
      <c r="S5" s="21" t="s">
        <v>586</v>
      </c>
      <c r="T5" s="22"/>
      <c r="U5" s="23"/>
    </row>
    <row r="6" spans="1:21" ht="31.25" customHeight="1" x14ac:dyDescent="0.45">
      <c r="A6" s="5" t="s">
        <v>391</v>
      </c>
      <c r="B6" s="5" t="str">
        <f t="shared" si="1"/>
        <v>41884</v>
      </c>
      <c r="C6" s="2">
        <v>41071</v>
      </c>
      <c r="D6" s="2">
        <v>41132</v>
      </c>
      <c r="E6" s="1" t="s">
        <v>33</v>
      </c>
      <c r="F6" s="1" t="s">
        <v>491</v>
      </c>
      <c r="G6" s="1" t="s">
        <v>34</v>
      </c>
      <c r="H6" s="1" t="s">
        <v>18</v>
      </c>
      <c r="I6" s="1" t="s">
        <v>35</v>
      </c>
      <c r="J6" s="1" t="s">
        <v>36</v>
      </c>
      <c r="K6" s="1">
        <v>1822.08</v>
      </c>
      <c r="L6" s="1">
        <v>4</v>
      </c>
      <c r="M6" s="1">
        <v>0</v>
      </c>
      <c r="N6" s="1">
        <v>564.84</v>
      </c>
      <c r="O6" s="6" t="str">
        <f t="shared" si="0"/>
        <v>Medium</v>
      </c>
      <c r="P6" s="16">
        <f>IF(ISBLANK(K6),AVERAGEIF(Table4[Category],I6,Table4[Sales]),K6)</f>
        <v>1822.08</v>
      </c>
      <c r="Q6" s="16">
        <f>IF(ISBLANK(N6),AVERAGEIF(Table4[Order Priority],O6,Table4[Profit]),N6)</f>
        <v>564.84</v>
      </c>
      <c r="S6" s="21" t="s">
        <v>587</v>
      </c>
      <c r="T6" s="22"/>
      <c r="U6" s="23"/>
    </row>
    <row r="7" spans="1:21" ht="31.25" customHeight="1" x14ac:dyDescent="0.45">
      <c r="A7" s="5" t="s">
        <v>37</v>
      </c>
      <c r="B7" s="5" t="str">
        <f t="shared" si="1"/>
        <v>41378</v>
      </c>
      <c r="C7" s="1" t="s">
        <v>296</v>
      </c>
      <c r="D7" s="1" t="s">
        <v>228</v>
      </c>
      <c r="E7" s="1" t="s">
        <v>38</v>
      </c>
      <c r="F7" s="1" t="s">
        <v>492</v>
      </c>
      <c r="G7" s="1" t="s">
        <v>34</v>
      </c>
      <c r="H7" s="1" t="s">
        <v>18</v>
      </c>
      <c r="I7" s="1" t="s">
        <v>35</v>
      </c>
      <c r="J7" s="1" t="s">
        <v>29</v>
      </c>
      <c r="K7" s="1">
        <v>5244.84</v>
      </c>
      <c r="L7" s="1">
        <v>6</v>
      </c>
      <c r="M7" s="1">
        <v>0</v>
      </c>
      <c r="N7" s="1">
        <v>996.48</v>
      </c>
      <c r="O7" s="6" t="str">
        <f t="shared" si="0"/>
        <v>Medium</v>
      </c>
      <c r="P7" s="15">
        <f>IF(ISBLANK(K7),AVERAGEIF(Table4[Category],I7,Table4[Sales]),K7)</f>
        <v>5244.84</v>
      </c>
      <c r="Q7" s="15">
        <f>IF(ISBLANK(N7),AVERAGEIF(Table4[Order Priority],O7,Table4[Profit]),N7)</f>
        <v>996.48</v>
      </c>
      <c r="S7" s="21"/>
      <c r="T7" s="22"/>
      <c r="U7" s="23"/>
    </row>
    <row r="8" spans="1:21" ht="31.25" customHeight="1" x14ac:dyDescent="0.45">
      <c r="A8" s="5" t="s">
        <v>39</v>
      </c>
      <c r="B8" s="5" t="str">
        <f t="shared" si="1"/>
        <v>41954</v>
      </c>
      <c r="C8" s="2">
        <v>41954</v>
      </c>
      <c r="D8" s="1" t="s">
        <v>40</v>
      </c>
      <c r="E8" s="1" t="s">
        <v>41</v>
      </c>
      <c r="F8" s="1" t="s">
        <v>493</v>
      </c>
      <c r="G8" s="1" t="s">
        <v>42</v>
      </c>
      <c r="H8" s="1" t="s">
        <v>43</v>
      </c>
      <c r="I8" s="1" t="s">
        <v>35</v>
      </c>
      <c r="J8" s="1" t="s">
        <v>26</v>
      </c>
      <c r="K8" s="1">
        <v>341.96</v>
      </c>
      <c r="L8" s="1">
        <v>2</v>
      </c>
      <c r="M8" s="1">
        <v>0</v>
      </c>
      <c r="N8" s="1">
        <v>54.7136</v>
      </c>
      <c r="O8" s="6" t="str">
        <f t="shared" si="0"/>
        <v>Low</v>
      </c>
      <c r="P8" s="15">
        <f>IF(ISBLANK(K8),AVERAGEIF(Table4[Category],I8,Table4[Sales]),K8)</f>
        <v>341.96</v>
      </c>
      <c r="Q8" s="15">
        <f>IF(ISBLANK(N8),AVERAGEIF(Table4[Order Priority],O8,Table4[Profit]),N8)</f>
        <v>54.7136</v>
      </c>
      <c r="S8" s="4"/>
      <c r="T8" s="17"/>
      <c r="U8" s="17"/>
    </row>
    <row r="9" spans="1:21" ht="31.25" customHeight="1" x14ac:dyDescent="0.45">
      <c r="A9" s="5" t="s">
        <v>44</v>
      </c>
      <c r="B9" s="5" t="str">
        <f t="shared" si="1"/>
        <v>40974</v>
      </c>
      <c r="C9" s="2">
        <v>41063</v>
      </c>
      <c r="D9" s="2">
        <v>41093</v>
      </c>
      <c r="E9" s="1" t="s">
        <v>41</v>
      </c>
      <c r="F9" s="1" t="s">
        <v>493</v>
      </c>
      <c r="G9" s="1" t="s">
        <v>42</v>
      </c>
      <c r="H9" s="1" t="s">
        <v>45</v>
      </c>
      <c r="I9" s="1" t="s">
        <v>35</v>
      </c>
      <c r="J9" s="1" t="s">
        <v>46</v>
      </c>
      <c r="K9" s="1">
        <v>48.712000000000003</v>
      </c>
      <c r="L9" s="1">
        <v>1</v>
      </c>
      <c r="M9" s="1">
        <v>0</v>
      </c>
      <c r="N9" s="1">
        <v>5.4801000000000002</v>
      </c>
      <c r="O9" s="6" t="str">
        <f t="shared" si="0"/>
        <v>Low</v>
      </c>
      <c r="P9" s="16">
        <f>IF(ISBLANK(K9),AVERAGEIF(Table4[Category],I9,Table4[Sales]),K9)</f>
        <v>48.712000000000003</v>
      </c>
      <c r="Q9" s="16">
        <f>IF(ISBLANK(N9),AVERAGEIF(Table4[Order Priority],O9,Table4[Profit]),N9)</f>
        <v>5.4801000000000002</v>
      </c>
      <c r="S9" s="4"/>
      <c r="T9" s="17"/>
      <c r="U9" s="17"/>
    </row>
    <row r="10" spans="1:21" ht="31.25" customHeight="1" x14ac:dyDescent="0.45">
      <c r="A10" s="5" t="s">
        <v>44</v>
      </c>
      <c r="B10" s="5" t="str">
        <f t="shared" si="1"/>
        <v>40974</v>
      </c>
      <c r="C10" s="2">
        <v>41063</v>
      </c>
      <c r="D10" s="2">
        <v>41093</v>
      </c>
      <c r="E10" s="4" t="s">
        <v>41</v>
      </c>
      <c r="F10" s="1" t="s">
        <v>493</v>
      </c>
      <c r="G10" s="1" t="s">
        <v>42</v>
      </c>
      <c r="H10" s="1" t="s">
        <v>45</v>
      </c>
      <c r="I10" s="1" t="s">
        <v>47</v>
      </c>
      <c r="J10" s="1" t="s">
        <v>48</v>
      </c>
      <c r="K10" s="1">
        <v>17.940000000000001</v>
      </c>
      <c r="L10" s="1">
        <v>3</v>
      </c>
      <c r="M10" s="1">
        <v>0</v>
      </c>
      <c r="N10" s="1">
        <v>26.647123529999998</v>
      </c>
      <c r="O10" s="6" t="str">
        <f t="shared" si="0"/>
        <v>Low</v>
      </c>
      <c r="P10" s="15">
        <f>IF(ISBLANK(K10),AVERAGEIF(Table4[Category],I10,Table4[Sales]),K10)</f>
        <v>17.940000000000001</v>
      </c>
      <c r="Q10" s="15">
        <f>IF(ISBLANK(N10),AVERAGEIF(Table4[Order Priority],O10,Table4[Profit]),N10)</f>
        <v>26.647123529999998</v>
      </c>
      <c r="S10" s="4"/>
      <c r="T10" s="17"/>
      <c r="U10" s="17"/>
    </row>
    <row r="11" spans="1:21" ht="31.25" customHeight="1" x14ac:dyDescent="0.45">
      <c r="A11" s="5" t="s">
        <v>49</v>
      </c>
      <c r="B11" s="5" t="str">
        <f t="shared" si="1"/>
        <v>41383</v>
      </c>
      <c r="C11" s="1" t="s">
        <v>50</v>
      </c>
      <c r="D11" s="3">
        <v>41386</v>
      </c>
      <c r="E11" s="1" t="s">
        <v>51</v>
      </c>
      <c r="F11" s="1" t="s">
        <v>494</v>
      </c>
      <c r="G11" s="1" t="s">
        <v>52</v>
      </c>
      <c r="H11" s="1" t="s">
        <v>53</v>
      </c>
      <c r="I11" s="1" t="s">
        <v>35</v>
      </c>
      <c r="J11" s="1" t="s">
        <v>46</v>
      </c>
      <c r="K11" s="1">
        <v>4626.1499999999996</v>
      </c>
      <c r="L11" s="1">
        <v>5</v>
      </c>
      <c r="M11" s="1">
        <v>0</v>
      </c>
      <c r="N11" s="1"/>
      <c r="O11" s="6" t="str">
        <f t="shared" si="0"/>
        <v>Critical</v>
      </c>
      <c r="P11" s="15">
        <f>IF(ISBLANK(K11),AVERAGEIF(Table4[Category],I11,Table4[Sales]),K11)</f>
        <v>4626.1499999999996</v>
      </c>
      <c r="Q11" s="15">
        <f>IF(ISBLANK(N11),AVERAGEIF(Table4[Order Priority],O11,Table4[Profit]),N11)</f>
        <v>-390.4273300000001</v>
      </c>
    </row>
    <row r="12" spans="1:21" ht="31.25" customHeight="1" x14ac:dyDescent="0.45">
      <c r="A12" s="5" t="s">
        <v>54</v>
      </c>
      <c r="B12" s="5" t="str">
        <f t="shared" si="1"/>
        <v>41269</v>
      </c>
      <c r="C12" s="1" t="s">
        <v>55</v>
      </c>
      <c r="D12" s="1" t="s">
        <v>146</v>
      </c>
      <c r="E12" s="1" t="s">
        <v>56</v>
      </c>
      <c r="F12" s="1" t="s">
        <v>495</v>
      </c>
      <c r="G12" s="1" t="s">
        <v>57</v>
      </c>
      <c r="H12" s="1" t="s">
        <v>58</v>
      </c>
      <c r="I12" s="1" t="s">
        <v>19</v>
      </c>
      <c r="J12" s="1" t="s">
        <v>59</v>
      </c>
      <c r="K12" s="1">
        <v>2616.96</v>
      </c>
      <c r="L12" s="1">
        <v>4</v>
      </c>
      <c r="M12" s="1">
        <v>0</v>
      </c>
      <c r="N12" s="1">
        <v>1151.4000000000001</v>
      </c>
      <c r="O12" s="6" t="str">
        <f t="shared" si="0"/>
        <v>High</v>
      </c>
      <c r="P12" s="16">
        <f>IF(ISBLANK(K12),AVERAGEIF(Table4[Category],I12,Table4[Sales]),K12)</f>
        <v>2616.96</v>
      </c>
      <c r="Q12" s="16">
        <f>IF(ISBLANK(N12),AVERAGEIF(Table4[Order Priority],O12,Table4[Profit]),N12)</f>
        <v>1151.4000000000001</v>
      </c>
    </row>
    <row r="13" spans="1:21" ht="31.25" customHeight="1" x14ac:dyDescent="0.45">
      <c r="A13" s="5" t="s">
        <v>60</v>
      </c>
      <c r="B13" s="5" t="str">
        <f t="shared" si="1"/>
        <v>41591</v>
      </c>
      <c r="C13" s="1" t="s">
        <v>61</v>
      </c>
      <c r="D13" s="1" t="s">
        <v>61</v>
      </c>
      <c r="E13" s="1" t="s">
        <v>62</v>
      </c>
      <c r="F13" s="1" t="s">
        <v>496</v>
      </c>
      <c r="G13" s="1" t="s">
        <v>63</v>
      </c>
      <c r="H13" s="1" t="s">
        <v>64</v>
      </c>
      <c r="I13" s="1" t="s">
        <v>35</v>
      </c>
      <c r="J13" s="1" t="s">
        <v>46</v>
      </c>
      <c r="K13" s="1">
        <v>2221.8000000000002</v>
      </c>
      <c r="L13" s="1">
        <v>5</v>
      </c>
      <c r="M13" s="1">
        <v>0</v>
      </c>
      <c r="N13" s="1">
        <v>622.02</v>
      </c>
      <c r="O13" s="6" t="str">
        <f t="shared" si="0"/>
        <v>Medium</v>
      </c>
      <c r="P13" s="15">
        <f>IF(ISBLANK(K13),AVERAGEIF(Table4[Category],I13,Table4[Sales]),K13)</f>
        <v>2221.8000000000002</v>
      </c>
      <c r="Q13" s="15">
        <f>IF(ISBLANK(N13),AVERAGEIF(Table4[Order Priority],O13,Table4[Profit]),N13)</f>
        <v>622.02</v>
      </c>
    </row>
    <row r="14" spans="1:21" ht="31.25" customHeight="1" x14ac:dyDescent="0.45">
      <c r="A14" s="5" t="s">
        <v>65</v>
      </c>
      <c r="B14" s="5" t="str">
        <f t="shared" si="1"/>
        <v>41796</v>
      </c>
      <c r="C14" s="2">
        <v>41796</v>
      </c>
      <c r="D14" s="2">
        <v>41857</v>
      </c>
      <c r="E14" s="1" t="s">
        <v>66</v>
      </c>
      <c r="F14" s="1" t="s">
        <v>497</v>
      </c>
      <c r="G14" s="1" t="s">
        <v>67</v>
      </c>
      <c r="H14" s="1" t="s">
        <v>68</v>
      </c>
      <c r="I14" s="1" t="s">
        <v>47</v>
      </c>
      <c r="J14" s="1" t="s">
        <v>29</v>
      </c>
      <c r="K14" s="1">
        <v>3701.52</v>
      </c>
      <c r="L14" s="1">
        <v>12</v>
      </c>
      <c r="M14" s="1">
        <v>0</v>
      </c>
      <c r="N14" s="1">
        <v>1036.08</v>
      </c>
      <c r="O14" s="6" t="str">
        <f t="shared" si="0"/>
        <v>High</v>
      </c>
      <c r="P14" s="15">
        <f>IF(ISBLANK(K14),AVERAGEIF(Table4[Category],I14,Table4[Sales]),K14)</f>
        <v>3701.52</v>
      </c>
      <c r="Q14" s="15">
        <f>IF(ISBLANK(N14),AVERAGEIF(Table4[Order Priority],O14,Table4[Profit]),N14)</f>
        <v>1036.08</v>
      </c>
    </row>
    <row r="15" spans="1:21" ht="31.25" customHeight="1" x14ac:dyDescent="0.45">
      <c r="A15" s="5" t="s">
        <v>69</v>
      </c>
      <c r="B15" s="5" t="str">
        <f t="shared" si="1"/>
        <v>42216</v>
      </c>
      <c r="C15" s="1" t="s">
        <v>70</v>
      </c>
      <c r="D15" s="2">
        <v>42071</v>
      </c>
      <c r="E15" s="1" t="s">
        <v>71</v>
      </c>
      <c r="F15" s="1" t="s">
        <v>498</v>
      </c>
      <c r="G15" s="1" t="s">
        <v>72</v>
      </c>
      <c r="H15" s="1" t="s">
        <v>73</v>
      </c>
      <c r="I15" s="1" t="s">
        <v>47</v>
      </c>
      <c r="J15" s="1" t="s">
        <v>26</v>
      </c>
      <c r="K15" s="1">
        <v>1869.588</v>
      </c>
      <c r="L15" s="1">
        <v>4</v>
      </c>
      <c r="M15" s="1">
        <v>0.1</v>
      </c>
      <c r="N15" s="1"/>
      <c r="O15" s="6" t="str">
        <f t="shared" si="0"/>
        <v>Critical</v>
      </c>
      <c r="P15" s="16">
        <f>IF(ISBLANK(K15),AVERAGEIF(Table4[Category],I15,Table4[Sales]),K15)</f>
        <v>1869.588</v>
      </c>
      <c r="Q15" s="16">
        <f>IF(ISBLANK(N15),AVERAGEIF(Table4[Order Priority],O15,Table4[Profit]),N15)</f>
        <v>-390.4273300000001</v>
      </c>
    </row>
    <row r="16" spans="1:21" ht="31.25" customHeight="1" x14ac:dyDescent="0.45">
      <c r="A16" s="5" t="s">
        <v>74</v>
      </c>
      <c r="B16" s="5" t="str">
        <f t="shared" si="1"/>
        <v>40958</v>
      </c>
      <c r="C16" s="1" t="s">
        <v>75</v>
      </c>
      <c r="D16" s="1" t="s">
        <v>76</v>
      </c>
      <c r="E16" s="1" t="s">
        <v>41</v>
      </c>
      <c r="F16" s="1" t="s">
        <v>493</v>
      </c>
      <c r="G16" s="1" t="s">
        <v>42</v>
      </c>
      <c r="H16" s="1" t="s">
        <v>43</v>
      </c>
      <c r="I16" s="1" t="s">
        <v>47</v>
      </c>
      <c r="J16" s="1" t="s">
        <v>77</v>
      </c>
      <c r="K16" s="1">
        <v>12.624000000000001</v>
      </c>
      <c r="L16" s="1">
        <v>2</v>
      </c>
      <c r="M16" s="1">
        <v>0.2</v>
      </c>
      <c r="N16" s="1">
        <v>-2.5247999999999999</v>
      </c>
      <c r="O16" s="6" t="str">
        <f t="shared" si="0"/>
        <v>Critical</v>
      </c>
      <c r="P16" s="15">
        <f>IF(ISBLANK(K16),AVERAGEIF(Table4[Category],I16,Table4[Sales]),K16)</f>
        <v>12.624000000000001</v>
      </c>
      <c r="Q16" s="15">
        <f>IF(ISBLANK(N16),AVERAGEIF(Table4[Order Priority],O16,Table4[Profit]),N16)</f>
        <v>-2.5247999999999999</v>
      </c>
    </row>
    <row r="17" spans="1:17" ht="31.25" customHeight="1" x14ac:dyDescent="0.45">
      <c r="A17" s="5" t="s">
        <v>78</v>
      </c>
      <c r="B17" s="5" t="str">
        <f t="shared" si="1"/>
        <v>42255</v>
      </c>
      <c r="C17" s="2">
        <v>42225</v>
      </c>
      <c r="D17" s="1" t="s">
        <v>79</v>
      </c>
      <c r="E17" s="1" t="s">
        <v>478</v>
      </c>
      <c r="F17" s="1" t="s">
        <v>478</v>
      </c>
      <c r="G17" s="1" t="s">
        <v>80</v>
      </c>
      <c r="H17" s="1" t="s">
        <v>81</v>
      </c>
      <c r="I17" s="1" t="s">
        <v>47</v>
      </c>
      <c r="J17" s="1" t="s">
        <v>77</v>
      </c>
      <c r="K17" s="1" t="s">
        <v>82</v>
      </c>
      <c r="L17" s="1">
        <v>14</v>
      </c>
      <c r="M17" s="1">
        <v>0</v>
      </c>
      <c r="N17" s="1">
        <v>3979.08</v>
      </c>
      <c r="O17" s="6" t="str">
        <f t="shared" si="0"/>
        <v>High</v>
      </c>
      <c r="P17" s="15" t="str">
        <f>IF(ISBLANK(K17),AVERAGEIF(Table4[Category],I17,Table4[Sales]),K17)</f>
        <v>7958.58#</v>
      </c>
      <c r="Q17" s="15">
        <f>IF(ISBLANK(N17),AVERAGEIF(Table4[Order Priority],O17,Table4[Profit]),N17)</f>
        <v>3979.08</v>
      </c>
    </row>
    <row r="18" spans="1:17" ht="31.25" customHeight="1" x14ac:dyDescent="0.45">
      <c r="A18" s="5" t="s">
        <v>83</v>
      </c>
      <c r="B18" s="5" t="str">
        <f t="shared" si="1"/>
        <v>42035</v>
      </c>
      <c r="C18" s="1" t="s">
        <v>84</v>
      </c>
      <c r="D18" s="2">
        <v>42006</v>
      </c>
      <c r="E18" s="1" t="s">
        <v>85</v>
      </c>
      <c r="F18" s="1" t="s">
        <v>499</v>
      </c>
      <c r="G18" s="1" t="s">
        <v>17</v>
      </c>
      <c r="H18" s="1" t="s">
        <v>18</v>
      </c>
      <c r="I18" s="1" t="s">
        <v>19</v>
      </c>
      <c r="J18" s="1" t="s">
        <v>20</v>
      </c>
      <c r="K18" s="1">
        <v>2565.5940000000001</v>
      </c>
      <c r="L18" s="1">
        <v>9</v>
      </c>
      <c r="M18" s="1">
        <v>0</v>
      </c>
      <c r="N18" s="1"/>
      <c r="O18" s="6" t="str">
        <f t="shared" si="0"/>
        <v>Critical</v>
      </c>
      <c r="P18" s="16">
        <f>IF(ISBLANK(K18),AVERAGEIF(Table4[Category],I18,Table4[Sales]),K18)</f>
        <v>2565.5940000000001</v>
      </c>
      <c r="Q18" s="16">
        <f>IF(ISBLANK(N18),AVERAGEIF(Table4[Order Priority],O18,Table4[Profit]),N18)</f>
        <v>-390.4273300000001</v>
      </c>
    </row>
    <row r="19" spans="1:17" ht="31.25" customHeight="1" x14ac:dyDescent="0.45">
      <c r="A19" s="5" t="s">
        <v>86</v>
      </c>
      <c r="B19" s="5" t="str">
        <f t="shared" si="1"/>
        <v>42343</v>
      </c>
      <c r="C19" s="2">
        <v>42136</v>
      </c>
      <c r="D19" s="2">
        <v>42197</v>
      </c>
      <c r="E19" s="1" t="s">
        <v>87</v>
      </c>
      <c r="F19" s="1" t="s">
        <v>500</v>
      </c>
      <c r="G19" s="1" t="s">
        <v>88</v>
      </c>
      <c r="H19" s="1" t="s">
        <v>89</v>
      </c>
      <c r="I19" s="1" t="s">
        <v>47</v>
      </c>
      <c r="J19" s="1" t="s">
        <v>77</v>
      </c>
      <c r="K19" s="1">
        <v>3409.74</v>
      </c>
      <c r="L19" s="1">
        <v>6</v>
      </c>
      <c r="M19" s="1">
        <v>0</v>
      </c>
      <c r="N19" s="1">
        <v>818.28</v>
      </c>
      <c r="O19" s="6" t="str">
        <f t="shared" si="0"/>
        <v>Medium</v>
      </c>
      <c r="P19" s="15">
        <f>IF(ISBLANK(K19),AVERAGEIF(Table4[Category],I19,Table4[Sales]),K19)</f>
        <v>3409.74</v>
      </c>
      <c r="Q19" s="15">
        <f>IF(ISBLANK(N19),AVERAGEIF(Table4[Order Priority],O19,Table4[Profit]),N19)</f>
        <v>818.28</v>
      </c>
    </row>
    <row r="20" spans="1:17" ht="31.25" customHeight="1" x14ac:dyDescent="0.45">
      <c r="A20" s="5" t="s">
        <v>90</v>
      </c>
      <c r="B20" s="5" t="str">
        <f t="shared" si="1"/>
        <v>41494</v>
      </c>
      <c r="C20" s="2">
        <v>41494</v>
      </c>
      <c r="D20" s="2">
        <v>41555</v>
      </c>
      <c r="E20" s="4" t="s">
        <v>91</v>
      </c>
      <c r="F20" s="1" t="s">
        <v>501</v>
      </c>
      <c r="G20" s="1" t="s">
        <v>42</v>
      </c>
      <c r="H20" s="1" t="s">
        <v>92</v>
      </c>
      <c r="I20" s="1" t="s">
        <v>35</v>
      </c>
      <c r="J20" s="1" t="s">
        <v>36</v>
      </c>
      <c r="K20" s="1">
        <v>1977.72</v>
      </c>
      <c r="L20" s="1">
        <v>4</v>
      </c>
      <c r="M20" s="1">
        <v>0</v>
      </c>
      <c r="N20" s="1">
        <v>276.83999999999997</v>
      </c>
      <c r="O20" s="6" t="str">
        <f t="shared" si="0"/>
        <v>Low</v>
      </c>
      <c r="P20" s="15">
        <f>IF(ISBLANK(K20),AVERAGEIF(Table4[Category],I20,Table4[Sales]),K20)</f>
        <v>1977.72</v>
      </c>
      <c r="Q20" s="15">
        <f>IF(ISBLANK(N20),AVERAGEIF(Table4[Order Priority],O20,Table4[Profit]),N20)</f>
        <v>276.83999999999997</v>
      </c>
    </row>
    <row r="21" spans="1:17" ht="31.25" customHeight="1" x14ac:dyDescent="0.45">
      <c r="A21" s="5" t="s">
        <v>44</v>
      </c>
      <c r="B21" s="5" t="str">
        <f t="shared" si="1"/>
        <v>40974</v>
      </c>
      <c r="C21" s="2">
        <v>41063</v>
      </c>
      <c r="D21" s="2">
        <v>41093</v>
      </c>
      <c r="E21" s="1" t="s">
        <v>41</v>
      </c>
      <c r="F21" s="1" t="s">
        <v>493</v>
      </c>
      <c r="G21" s="1" t="s">
        <v>42</v>
      </c>
      <c r="H21" s="1" t="s">
        <v>45</v>
      </c>
      <c r="I21" s="1" t="s">
        <v>47</v>
      </c>
      <c r="J21" s="1" t="s">
        <v>77</v>
      </c>
      <c r="K21" s="1">
        <v>242.94</v>
      </c>
      <c r="L21" s="1">
        <v>3</v>
      </c>
      <c r="M21" s="1">
        <v>0</v>
      </c>
      <c r="N21" s="1">
        <v>4.8587999999999996</v>
      </c>
      <c r="O21" s="6" t="str">
        <f t="shared" si="0"/>
        <v>Low</v>
      </c>
      <c r="P21" s="16">
        <f>IF(ISBLANK(K21),AVERAGEIF(Table4[Category],I21,Table4[Sales]),K21)</f>
        <v>242.94</v>
      </c>
      <c r="Q21" s="16">
        <f>IF(ISBLANK(N21),AVERAGEIF(Table4[Order Priority],O21,Table4[Profit]),N21)</f>
        <v>4.8587999999999996</v>
      </c>
    </row>
    <row r="22" spans="1:17" ht="31.25" customHeight="1" x14ac:dyDescent="0.45">
      <c r="A22" s="5" t="s">
        <v>93</v>
      </c>
      <c r="B22" s="5" t="str">
        <f t="shared" si="1"/>
        <v>41030</v>
      </c>
      <c r="C22" s="2">
        <v>40913</v>
      </c>
      <c r="D22" s="2">
        <v>40944</v>
      </c>
      <c r="E22" s="1" t="s">
        <v>94</v>
      </c>
      <c r="F22" s="1" t="s">
        <v>502</v>
      </c>
      <c r="G22" s="1" t="s">
        <v>67</v>
      </c>
      <c r="H22" s="1" t="s">
        <v>95</v>
      </c>
      <c r="I22" s="1" t="s">
        <v>35</v>
      </c>
      <c r="J22" s="1" t="s">
        <v>46</v>
      </c>
      <c r="K22" s="1">
        <v>2754</v>
      </c>
      <c r="L22" s="1">
        <v>6</v>
      </c>
      <c r="M22" s="1">
        <v>0</v>
      </c>
      <c r="N22" s="1">
        <v>358.02</v>
      </c>
      <c r="O22" s="6" t="str">
        <f t="shared" si="0"/>
        <v>Low</v>
      </c>
      <c r="P22" s="15">
        <f>IF(ISBLANK(K22),AVERAGEIF(Table4[Category],I22,Table4[Sales]),K22)</f>
        <v>2754</v>
      </c>
      <c r="Q22" s="15">
        <f>IF(ISBLANK(N22),AVERAGEIF(Table4[Order Priority],O22,Table4[Profit]),N22)</f>
        <v>358.02</v>
      </c>
    </row>
    <row r="23" spans="1:17" ht="31.25" customHeight="1" x14ac:dyDescent="0.45">
      <c r="A23" s="5" t="s">
        <v>96</v>
      </c>
      <c r="B23" s="5" t="str">
        <f t="shared" si="1"/>
        <v>41697</v>
      </c>
      <c r="C23" s="1" t="s">
        <v>97</v>
      </c>
      <c r="D23" s="2">
        <v>41642</v>
      </c>
      <c r="E23" s="1" t="s">
        <v>98</v>
      </c>
      <c r="F23" s="1" t="s">
        <v>503</v>
      </c>
      <c r="G23" s="1" t="s">
        <v>99</v>
      </c>
      <c r="H23" s="1" t="s">
        <v>100</v>
      </c>
      <c r="I23" s="1" t="s">
        <v>47</v>
      </c>
      <c r="J23" s="1" t="s">
        <v>29</v>
      </c>
      <c r="K23" s="1">
        <v>5273.7</v>
      </c>
      <c r="L23" s="1">
        <v>10</v>
      </c>
      <c r="M23" s="1">
        <v>0</v>
      </c>
      <c r="N23" s="1">
        <v>1898.4</v>
      </c>
      <c r="O23" s="6" t="str">
        <f t="shared" si="0"/>
        <v>High</v>
      </c>
      <c r="P23" s="15">
        <f>IF(ISBLANK(K23),AVERAGEIF(Table4[Category],I23,Table4[Sales]),K23)</f>
        <v>5273.7</v>
      </c>
      <c r="Q23" s="15">
        <f>IF(ISBLANK(N23),AVERAGEIF(Table4[Order Priority],O23,Table4[Profit]),N23)</f>
        <v>1898.4</v>
      </c>
    </row>
    <row r="24" spans="1:17" ht="31.25" customHeight="1" x14ac:dyDescent="0.45">
      <c r="A24" s="5" t="s">
        <v>101</v>
      </c>
      <c r="B24" s="5" t="str">
        <f t="shared" si="1"/>
        <v>42216</v>
      </c>
      <c r="C24" s="1" t="s">
        <v>70</v>
      </c>
      <c r="D24" s="2">
        <v>42012</v>
      </c>
      <c r="E24" s="1" t="s">
        <v>102</v>
      </c>
      <c r="F24" s="1" t="s">
        <v>504</v>
      </c>
      <c r="G24" s="1" t="s">
        <v>103</v>
      </c>
      <c r="H24" s="1" t="s">
        <v>104</v>
      </c>
      <c r="I24" s="1" t="s">
        <v>19</v>
      </c>
      <c r="J24" s="1" t="s">
        <v>26</v>
      </c>
      <c r="K24" s="1">
        <v>1713.84</v>
      </c>
      <c r="L24" s="1">
        <v>4</v>
      </c>
      <c r="M24" s="1">
        <v>0</v>
      </c>
      <c r="N24" s="1">
        <v>445.52</v>
      </c>
      <c r="O24" s="6" t="str">
        <f t="shared" si="0"/>
        <v>Low</v>
      </c>
      <c r="P24" s="16">
        <f>IF(ISBLANK(K24),AVERAGEIF(Table4[Category],I24,Table4[Sales]),K24)</f>
        <v>1713.84</v>
      </c>
      <c r="Q24" s="16">
        <f>IF(ISBLANK(N24),AVERAGEIF(Table4[Order Priority],O24,Table4[Profit]),N24)</f>
        <v>445.52</v>
      </c>
    </row>
    <row r="25" spans="1:17" ht="31.25" customHeight="1" x14ac:dyDescent="0.45">
      <c r="A25" s="5" t="s">
        <v>105</v>
      </c>
      <c r="B25" s="5" t="str">
        <f t="shared" si="1"/>
        <v>42252</v>
      </c>
      <c r="C25" s="2">
        <v>42133</v>
      </c>
      <c r="D25" s="2">
        <v>42225</v>
      </c>
      <c r="E25" s="1" t="s">
        <v>106</v>
      </c>
      <c r="F25" s="1" t="s">
        <v>505</v>
      </c>
      <c r="G25" s="1" t="s">
        <v>107</v>
      </c>
      <c r="H25" s="1" t="s">
        <v>104</v>
      </c>
      <c r="I25" s="1" t="s">
        <v>35</v>
      </c>
      <c r="J25" s="1" t="s">
        <v>77</v>
      </c>
      <c r="K25" s="1">
        <v>2106.4960000000001</v>
      </c>
      <c r="L25" s="1">
        <v>8</v>
      </c>
      <c r="M25" s="1">
        <v>0.2</v>
      </c>
      <c r="N25" s="1">
        <v>526.49599999999998</v>
      </c>
      <c r="O25" s="6" t="str">
        <f t="shared" si="0"/>
        <v>Medium</v>
      </c>
      <c r="P25" s="15">
        <f>IF(ISBLANK(K25),AVERAGEIF(Table4[Category],I25,Table4[Sales]),K25)</f>
        <v>2106.4960000000001</v>
      </c>
      <c r="Q25" s="15">
        <f>IF(ISBLANK(N25),AVERAGEIF(Table4[Order Priority],O25,Table4[Profit]),N25)</f>
        <v>526.49599999999998</v>
      </c>
    </row>
    <row r="26" spans="1:17" ht="31.25" customHeight="1" x14ac:dyDescent="0.45">
      <c r="A26" s="5" t="s">
        <v>108</v>
      </c>
      <c r="B26" s="5" t="str">
        <f t="shared" si="1"/>
        <v>41259</v>
      </c>
      <c r="C26" s="1" t="s">
        <v>109</v>
      </c>
      <c r="D26" s="1" t="s">
        <v>110</v>
      </c>
      <c r="E26" s="1" t="s">
        <v>111</v>
      </c>
      <c r="F26" s="1" t="s">
        <v>506</v>
      </c>
      <c r="G26" s="1" t="s">
        <v>112</v>
      </c>
      <c r="H26" s="1" t="s">
        <v>95</v>
      </c>
      <c r="I26" s="1" t="s">
        <v>35</v>
      </c>
      <c r="J26" s="1" t="s">
        <v>29</v>
      </c>
      <c r="K26" s="1">
        <v>1715.16</v>
      </c>
      <c r="L26" s="1">
        <v>5</v>
      </c>
      <c r="M26" s="1">
        <v>0</v>
      </c>
      <c r="N26" s="1">
        <v>720.36</v>
      </c>
      <c r="O26" s="6" t="str">
        <f t="shared" si="0"/>
        <v>Medium</v>
      </c>
      <c r="P26" s="15">
        <f>IF(ISBLANK(K26),AVERAGEIF(Table4[Category],I26,Table4[Sales]),K26)</f>
        <v>1715.16</v>
      </c>
      <c r="Q26" s="15">
        <f>IF(ISBLANK(N26),AVERAGEIF(Table4[Order Priority],O26,Table4[Profit]),N26)</f>
        <v>720.36</v>
      </c>
    </row>
    <row r="27" spans="1:17" ht="31.25" customHeight="1" x14ac:dyDescent="0.45">
      <c r="A27" s="9" t="s">
        <v>113</v>
      </c>
      <c r="B27" s="5" t="str">
        <f t="shared" si="1"/>
        <v>40981</v>
      </c>
      <c r="C27" s="1" t="s">
        <v>296</v>
      </c>
      <c r="D27" s="1" t="s">
        <v>114</v>
      </c>
      <c r="E27" s="1" t="s">
        <v>115</v>
      </c>
      <c r="F27" s="1" t="s">
        <v>507</v>
      </c>
      <c r="G27" s="1" t="s">
        <v>25</v>
      </c>
      <c r="H27" s="1" t="s">
        <v>116</v>
      </c>
      <c r="I27" s="1" t="s">
        <v>117</v>
      </c>
      <c r="J27" s="1" t="s">
        <v>46</v>
      </c>
      <c r="K27" s="1">
        <v>3069.7379999999998</v>
      </c>
      <c r="L27" s="1">
        <v>6</v>
      </c>
      <c r="M27" s="1">
        <v>0.1</v>
      </c>
      <c r="N27" s="1">
        <v>1364.2380000000001</v>
      </c>
      <c r="O27" s="6" t="str">
        <f t="shared" si="0"/>
        <v>High</v>
      </c>
      <c r="P27" s="16">
        <f>IF(ISBLANK(K27),AVERAGEIF(Table4[Category],I27,Table4[Sales]),K27)</f>
        <v>3069.7379999999998</v>
      </c>
      <c r="Q27" s="16">
        <f>IF(ISBLANK(N27),AVERAGEIF(Table4[Order Priority],O27,Table4[Profit]),N27)</f>
        <v>1364.2380000000001</v>
      </c>
    </row>
    <row r="28" spans="1:17" ht="31.25" customHeight="1" x14ac:dyDescent="0.45">
      <c r="A28" s="5" t="s">
        <v>118</v>
      </c>
      <c r="B28" s="5" t="str">
        <f t="shared" si="1"/>
        <v>41020</v>
      </c>
      <c r="C28" s="1" t="s">
        <v>119</v>
      </c>
      <c r="D28" s="1" t="s">
        <v>120</v>
      </c>
      <c r="E28" s="1" t="s">
        <v>121</v>
      </c>
      <c r="F28" s="1" t="s">
        <v>508</v>
      </c>
      <c r="G28" s="1" t="s">
        <v>42</v>
      </c>
      <c r="H28" s="1" t="s">
        <v>122</v>
      </c>
      <c r="I28" s="1" t="s">
        <v>47</v>
      </c>
      <c r="J28" s="1" t="s">
        <v>46</v>
      </c>
      <c r="K28" s="1">
        <v>247.84</v>
      </c>
      <c r="L28" s="1">
        <v>8</v>
      </c>
      <c r="M28" s="1">
        <v>0</v>
      </c>
      <c r="N28" s="1">
        <v>121.44159999999999</v>
      </c>
      <c r="O28" s="6" t="str">
        <f t="shared" si="0"/>
        <v>Low</v>
      </c>
      <c r="P28" s="15">
        <f>IF(ISBLANK(K28),AVERAGEIF(Table4[Category],I28,Table4[Sales]),K28)</f>
        <v>247.84</v>
      </c>
      <c r="Q28" s="15">
        <f>IF(ISBLANK(N28),AVERAGEIF(Table4[Order Priority],O28,Table4[Profit]),N28)</f>
        <v>121.44159999999999</v>
      </c>
    </row>
    <row r="29" spans="1:17" ht="31.25" customHeight="1" x14ac:dyDescent="0.45">
      <c r="A29" s="5" t="s">
        <v>123</v>
      </c>
      <c r="B29" s="5" t="str">
        <f t="shared" si="1"/>
        <v>41329</v>
      </c>
      <c r="C29" s="1" t="s">
        <v>124</v>
      </c>
      <c r="D29" s="1" t="s">
        <v>124</v>
      </c>
      <c r="E29" s="1" t="s">
        <v>125</v>
      </c>
      <c r="F29" s="1" t="s">
        <v>509</v>
      </c>
      <c r="G29" s="1" t="s">
        <v>126</v>
      </c>
      <c r="H29" s="1" t="s">
        <v>53</v>
      </c>
      <c r="I29" s="1" t="s">
        <v>35</v>
      </c>
      <c r="J29" s="1" t="s">
        <v>77</v>
      </c>
      <c r="K29" s="1">
        <v>1878.72</v>
      </c>
      <c r="L29" s="1">
        <v>4</v>
      </c>
      <c r="M29" s="1">
        <v>0</v>
      </c>
      <c r="N29" s="1">
        <v>582.36</v>
      </c>
      <c r="O29" s="6" t="str">
        <f t="shared" si="0"/>
        <v>Medium</v>
      </c>
      <c r="P29" s="15">
        <f>IF(ISBLANK(K29),AVERAGEIF(Table4[Category],I29,Table4[Sales]),K29)</f>
        <v>1878.72</v>
      </c>
      <c r="Q29" s="15">
        <f>IF(ISBLANK(N29),AVERAGEIF(Table4[Order Priority],O29,Table4[Profit]),N29)</f>
        <v>582.36</v>
      </c>
    </row>
    <row r="30" spans="1:17" ht="31.25" customHeight="1" x14ac:dyDescent="0.45">
      <c r="A30" s="5" t="s">
        <v>127</v>
      </c>
      <c r="B30" s="5" t="str">
        <f t="shared" si="1"/>
        <v>41270</v>
      </c>
      <c r="C30" s="1" t="s">
        <v>128</v>
      </c>
      <c r="D30" s="3">
        <v>41272</v>
      </c>
      <c r="E30" s="1" t="s">
        <v>129</v>
      </c>
      <c r="F30" s="1" t="s">
        <v>510</v>
      </c>
      <c r="G30" s="1" t="s">
        <v>130</v>
      </c>
      <c r="H30" s="1" t="s">
        <v>131</v>
      </c>
      <c r="I30" s="1" t="s">
        <v>19</v>
      </c>
      <c r="J30" s="1" t="s">
        <v>29</v>
      </c>
      <c r="K30" s="1">
        <v>1696.64</v>
      </c>
      <c r="L30" s="1">
        <v>5</v>
      </c>
      <c r="M30" s="1">
        <v>0</v>
      </c>
      <c r="N30" s="1">
        <v>-148.46</v>
      </c>
      <c r="O30" s="6" t="str">
        <f t="shared" si="0"/>
        <v>Critical</v>
      </c>
      <c r="P30" s="16">
        <f>IF(ISBLANK(K30),AVERAGEIF(Table4[Category],I30,Table4[Sales]),K30)</f>
        <v>1696.64</v>
      </c>
      <c r="Q30" s="16">
        <f>IF(ISBLANK(N30),AVERAGEIF(Table4[Order Priority],O30,Table4[Profit]),N30)</f>
        <v>-148.46</v>
      </c>
    </row>
    <row r="31" spans="1:17" ht="31.25" customHeight="1" x14ac:dyDescent="0.45">
      <c r="A31" s="5" t="s">
        <v>132</v>
      </c>
      <c r="B31" s="5" t="str">
        <f t="shared" si="1"/>
        <v>41472</v>
      </c>
      <c r="C31" s="1" t="s">
        <v>133</v>
      </c>
      <c r="D31" s="1" t="s">
        <v>134</v>
      </c>
      <c r="E31" s="1" t="s">
        <v>135</v>
      </c>
      <c r="F31" s="1" t="s">
        <v>511</v>
      </c>
      <c r="G31" s="1" t="s">
        <v>72</v>
      </c>
      <c r="H31" s="1" t="s">
        <v>73</v>
      </c>
      <c r="I31" s="1" t="s">
        <v>19</v>
      </c>
      <c r="J31" s="1" t="s">
        <v>26</v>
      </c>
      <c r="K31" s="1">
        <v>2402.8649999999998</v>
      </c>
      <c r="L31" s="1">
        <v>9</v>
      </c>
      <c r="M31" s="1">
        <v>0.15</v>
      </c>
      <c r="N31" s="1">
        <v>763.15499999999997</v>
      </c>
      <c r="O31" s="6" t="str">
        <f t="shared" si="0"/>
        <v>Medium</v>
      </c>
      <c r="P31" s="15">
        <f>IF(ISBLANK(K31),AVERAGEIF(Table4[Category],I31,Table4[Sales]),K31)</f>
        <v>2402.8649999999998</v>
      </c>
      <c r="Q31" s="15">
        <f>IF(ISBLANK(N31),AVERAGEIF(Table4[Order Priority],O31,Table4[Profit]),N31)</f>
        <v>763.15499999999997</v>
      </c>
    </row>
    <row r="32" spans="1:17" ht="31.25" customHeight="1" x14ac:dyDescent="0.45">
      <c r="A32" s="5" t="s">
        <v>136</v>
      </c>
      <c r="B32" s="5" t="str">
        <f t="shared" si="1"/>
        <v>41635</v>
      </c>
      <c r="C32" s="1" t="s">
        <v>137</v>
      </c>
      <c r="D32" s="1" t="s">
        <v>138</v>
      </c>
      <c r="E32" s="1" t="s">
        <v>121</v>
      </c>
      <c r="F32" s="1" t="s">
        <v>508</v>
      </c>
      <c r="G32" s="1" t="s">
        <v>42</v>
      </c>
      <c r="H32" s="1" t="s">
        <v>45</v>
      </c>
      <c r="I32" s="1" t="s">
        <v>19</v>
      </c>
      <c r="J32" s="1" t="s">
        <v>29</v>
      </c>
      <c r="K32" s="1">
        <v>668.16</v>
      </c>
      <c r="L32" s="1">
        <v>9</v>
      </c>
      <c r="M32" s="1">
        <v>0.2</v>
      </c>
      <c r="N32" s="1">
        <v>75.168000000000006</v>
      </c>
      <c r="O32" s="6" t="str">
        <f t="shared" si="0"/>
        <v>Low</v>
      </c>
      <c r="P32" s="15">
        <f>IF(ISBLANK(K32),AVERAGEIF(Table4[Category],I32,Table4[Sales]),K32)</f>
        <v>668.16</v>
      </c>
      <c r="Q32" s="15">
        <f>IF(ISBLANK(N32),AVERAGEIF(Table4[Order Priority],O32,Table4[Profit]),N32)</f>
        <v>75.168000000000006</v>
      </c>
    </row>
    <row r="33" spans="1:17" ht="31.25" customHeight="1" x14ac:dyDescent="0.45">
      <c r="A33" s="5" t="s">
        <v>139</v>
      </c>
      <c r="B33" s="5" t="str">
        <f t="shared" si="1"/>
        <v>41215</v>
      </c>
      <c r="C33" s="1" t="s">
        <v>140</v>
      </c>
      <c r="D33" s="2">
        <v>41010</v>
      </c>
      <c r="E33" s="1" t="s">
        <v>141</v>
      </c>
      <c r="F33" s="1" t="s">
        <v>512</v>
      </c>
      <c r="G33" s="1" t="s">
        <v>17</v>
      </c>
      <c r="H33" s="1" t="s">
        <v>18</v>
      </c>
      <c r="I33" s="1" t="s">
        <v>47</v>
      </c>
      <c r="J33" s="1" t="s">
        <v>142</v>
      </c>
      <c r="K33" s="1">
        <v>2526.9299999999998</v>
      </c>
      <c r="L33" s="1">
        <v>5</v>
      </c>
      <c r="M33" s="1">
        <v>0.1</v>
      </c>
      <c r="N33" s="1">
        <v>561.48</v>
      </c>
      <c r="O33" s="6" t="str">
        <f t="shared" si="0"/>
        <v>Medium</v>
      </c>
      <c r="P33" s="16">
        <f>IF(ISBLANK(K33),AVERAGEIF(Table4[Category],I33,Table4[Sales]),K33)</f>
        <v>2526.9299999999998</v>
      </c>
      <c r="Q33" s="16">
        <f>IF(ISBLANK(N33),AVERAGEIF(Table4[Order Priority],O33,Table4[Profit]),N33)</f>
        <v>561.48</v>
      </c>
    </row>
    <row r="34" spans="1:17" ht="31.25" customHeight="1" x14ac:dyDescent="0.45">
      <c r="A34" s="5" t="s">
        <v>143</v>
      </c>
      <c r="B34" s="5" t="str">
        <f t="shared" si="1"/>
        <v>41635</v>
      </c>
      <c r="C34" s="1" t="s">
        <v>137</v>
      </c>
      <c r="D34" s="1" t="s">
        <v>138</v>
      </c>
      <c r="E34" s="1" t="s">
        <v>121</v>
      </c>
      <c r="F34" s="1" t="s">
        <v>508</v>
      </c>
      <c r="G34" s="1" t="s">
        <v>42</v>
      </c>
      <c r="H34" s="1" t="s">
        <v>45</v>
      </c>
      <c r="I34" s="1" t="s">
        <v>47</v>
      </c>
      <c r="J34" s="1" t="s">
        <v>26</v>
      </c>
      <c r="K34" s="1">
        <v>323.10000000000002</v>
      </c>
      <c r="L34" s="1">
        <v>2</v>
      </c>
      <c r="M34" s="1">
        <v>0</v>
      </c>
      <c r="N34" s="1">
        <v>61.389000000000003</v>
      </c>
      <c r="O34" s="6" t="str">
        <f t="shared" ref="O34:O65" si="2">IF(N34&gt;1000,"High",IF(N34&gt;=500,"Medium",IF(N34&lt;=0,"Critical","Low")))</f>
        <v>Low</v>
      </c>
      <c r="P34" s="15">
        <f>IF(ISBLANK(K34),AVERAGEIF(Table4[Category],I34,Table4[Sales]),K34)</f>
        <v>323.10000000000002</v>
      </c>
      <c r="Q34" s="15">
        <f>IF(ISBLANK(N34),AVERAGEIF(Table4[Order Priority],O34,Table4[Profit]),N34)</f>
        <v>61.389000000000003</v>
      </c>
    </row>
    <row r="35" spans="1:17" ht="31.25" customHeight="1" x14ac:dyDescent="0.45">
      <c r="A35" s="5" t="s">
        <v>144</v>
      </c>
      <c r="B35" s="5" t="str">
        <f t="shared" si="1"/>
        <v>41165</v>
      </c>
      <c r="C35" s="1" t="s">
        <v>145</v>
      </c>
      <c r="D35" s="1" t="s">
        <v>146</v>
      </c>
      <c r="E35" s="1" t="s">
        <v>121</v>
      </c>
      <c r="F35" s="1" t="s">
        <v>508</v>
      </c>
      <c r="G35" s="1" t="s">
        <v>147</v>
      </c>
      <c r="H35" s="1" t="s">
        <v>148</v>
      </c>
      <c r="I35" s="1" t="s">
        <v>149</v>
      </c>
      <c r="J35" s="1" t="s">
        <v>77</v>
      </c>
      <c r="K35" s="1">
        <v>3817.26</v>
      </c>
      <c r="L35" s="1">
        <v>6</v>
      </c>
      <c r="M35" s="1">
        <v>0</v>
      </c>
      <c r="N35" s="1">
        <v>1068.6600000000001</v>
      </c>
      <c r="O35" s="6" t="str">
        <f t="shared" si="2"/>
        <v>High</v>
      </c>
      <c r="P35" s="15">
        <f>IF(ISBLANK(K35),AVERAGEIF(Table4[Category],I35,Table4[Sales]),K35)</f>
        <v>3817.26</v>
      </c>
      <c r="Q35" s="15">
        <f>IF(ISBLANK(N35),AVERAGEIF(Table4[Order Priority],O35,Table4[Profit]),N35)</f>
        <v>1068.6600000000001</v>
      </c>
    </row>
    <row r="36" spans="1:17" ht="31.25" customHeight="1" x14ac:dyDescent="0.45">
      <c r="A36" s="5" t="s">
        <v>150</v>
      </c>
      <c r="B36" s="5" t="str">
        <f t="shared" si="1"/>
        <v>41041</v>
      </c>
      <c r="C36" s="2">
        <v>41248</v>
      </c>
      <c r="D36" s="3">
        <v>41047</v>
      </c>
      <c r="E36" s="1" t="s">
        <v>121</v>
      </c>
      <c r="F36" s="1" t="s">
        <v>508</v>
      </c>
      <c r="G36" s="1" t="s">
        <v>42</v>
      </c>
      <c r="H36" s="1" t="s">
        <v>45</v>
      </c>
      <c r="I36" s="1" t="s">
        <v>35</v>
      </c>
      <c r="J36" s="1" t="s">
        <v>46</v>
      </c>
      <c r="K36" s="1">
        <v>279.45600000000002</v>
      </c>
      <c r="L36" s="1">
        <v>6</v>
      </c>
      <c r="M36" s="1">
        <v>0.2</v>
      </c>
      <c r="N36" s="1">
        <v>20.959199999999999</v>
      </c>
      <c r="O36" s="6" t="str">
        <f t="shared" si="2"/>
        <v>Low</v>
      </c>
      <c r="P36" s="16">
        <f>IF(ISBLANK(K36),AVERAGEIF(Table4[Category],I36,Table4[Sales]),K36)</f>
        <v>279.45600000000002</v>
      </c>
      <c r="Q36" s="16">
        <f>IF(ISBLANK(N36),AVERAGEIF(Table4[Order Priority],O36,Table4[Profit]),N36)</f>
        <v>20.959199999999999</v>
      </c>
    </row>
    <row r="37" spans="1:17" ht="31.25" customHeight="1" x14ac:dyDescent="0.45">
      <c r="A37" s="5" t="s">
        <v>151</v>
      </c>
      <c r="B37" s="5" t="str">
        <f t="shared" si="1"/>
        <v>41273</v>
      </c>
      <c r="C37" s="1" t="s">
        <v>152</v>
      </c>
      <c r="D37" s="1" t="s">
        <v>153</v>
      </c>
      <c r="E37" s="1" t="s">
        <v>478</v>
      </c>
      <c r="F37" s="1" t="s">
        <v>478</v>
      </c>
      <c r="G37" s="1" t="s">
        <v>42</v>
      </c>
      <c r="H37" s="1" t="s">
        <v>122</v>
      </c>
      <c r="I37" s="1" t="s">
        <v>19</v>
      </c>
      <c r="J37" s="1" t="s">
        <v>29</v>
      </c>
      <c r="K37" s="1">
        <v>34.770000000000003</v>
      </c>
      <c r="L37" s="1">
        <v>3</v>
      </c>
      <c r="M37" s="1">
        <v>0</v>
      </c>
      <c r="N37" s="1">
        <v>11.4741</v>
      </c>
      <c r="O37" s="6" t="str">
        <f t="shared" si="2"/>
        <v>Low</v>
      </c>
      <c r="P37" s="15">
        <f>IF(ISBLANK(K37),AVERAGEIF(Table4[Category],I37,Table4[Sales]),K37)</f>
        <v>34.770000000000003</v>
      </c>
      <c r="Q37" s="15">
        <f>IF(ISBLANK(N37),AVERAGEIF(Table4[Order Priority],O37,Table4[Profit]),N37)</f>
        <v>11.4741</v>
      </c>
    </row>
    <row r="38" spans="1:17" ht="31.25" customHeight="1" x14ac:dyDescent="0.45">
      <c r="A38" s="5" t="s">
        <v>154</v>
      </c>
      <c r="B38" s="5" t="str">
        <f t="shared" si="1"/>
        <v>42018</v>
      </c>
      <c r="C38" s="1" t="s">
        <v>155</v>
      </c>
      <c r="D38" s="1" t="s">
        <v>156</v>
      </c>
      <c r="E38" s="1" t="s">
        <v>478</v>
      </c>
      <c r="F38" s="1" t="s">
        <v>478</v>
      </c>
      <c r="G38" s="1" t="s">
        <v>99</v>
      </c>
      <c r="H38" s="1" t="s">
        <v>100</v>
      </c>
      <c r="I38" s="1" t="s">
        <v>19</v>
      </c>
      <c r="J38" s="1" t="s">
        <v>142</v>
      </c>
      <c r="K38" s="1">
        <v>4141.0200000000004</v>
      </c>
      <c r="L38" s="1">
        <v>13</v>
      </c>
      <c r="M38" s="1">
        <v>0</v>
      </c>
      <c r="N38" s="1">
        <v>1697.67</v>
      </c>
      <c r="O38" s="6" t="str">
        <f t="shared" si="2"/>
        <v>High</v>
      </c>
      <c r="P38" s="15">
        <f>IF(ISBLANK(K38),AVERAGEIF(Table4[Category],I38,Table4[Sales]),K38)</f>
        <v>4141.0200000000004</v>
      </c>
      <c r="Q38" s="15">
        <f>IF(ISBLANK(N38),AVERAGEIF(Table4[Order Priority],O38,Table4[Profit]),N38)</f>
        <v>1697.67</v>
      </c>
    </row>
    <row r="39" spans="1:17" ht="31.25" customHeight="1" x14ac:dyDescent="0.45">
      <c r="A39" s="5" t="s">
        <v>157</v>
      </c>
      <c r="B39" s="5" t="str">
        <f t="shared" si="1"/>
        <v>40918</v>
      </c>
      <c r="C39" s="2">
        <v>41183</v>
      </c>
      <c r="D39" s="2">
        <v>40919</v>
      </c>
      <c r="E39" s="1" t="s">
        <v>158</v>
      </c>
      <c r="F39" s="1" t="s">
        <v>513</v>
      </c>
      <c r="G39" s="1" t="s">
        <v>17</v>
      </c>
      <c r="H39" s="1" t="s">
        <v>18</v>
      </c>
      <c r="I39" s="1" t="s">
        <v>19</v>
      </c>
      <c r="J39" s="1" t="s">
        <v>142</v>
      </c>
      <c r="K39" s="1">
        <v>2875.0949999999998</v>
      </c>
      <c r="L39" s="1">
        <v>5</v>
      </c>
      <c r="M39" s="1">
        <v>0.1</v>
      </c>
      <c r="N39" s="1">
        <v>511.09500000000003</v>
      </c>
      <c r="O39" s="6" t="str">
        <f t="shared" si="2"/>
        <v>Medium</v>
      </c>
      <c r="P39" s="16">
        <f>IF(ISBLANK(K39),AVERAGEIF(Table4[Category],I39,Table4[Sales]),K39)</f>
        <v>2875.0949999999998</v>
      </c>
      <c r="Q39" s="16">
        <f>IF(ISBLANK(N39),AVERAGEIF(Table4[Order Priority],O39,Table4[Profit]),N39)</f>
        <v>511.09500000000003</v>
      </c>
    </row>
    <row r="40" spans="1:17" ht="31.25" customHeight="1" x14ac:dyDescent="0.45">
      <c r="A40" s="5" t="s">
        <v>159</v>
      </c>
      <c r="B40" s="5" t="str">
        <f t="shared" si="1"/>
        <v>41873</v>
      </c>
      <c r="C40" s="1" t="s">
        <v>160</v>
      </c>
      <c r="D40" s="1" t="s">
        <v>161</v>
      </c>
      <c r="E40" s="1" t="s">
        <v>162</v>
      </c>
      <c r="F40" s="1" t="s">
        <v>514</v>
      </c>
      <c r="G40" s="1" t="s">
        <v>163</v>
      </c>
      <c r="H40" s="1" t="s">
        <v>164</v>
      </c>
      <c r="I40" s="1" t="s">
        <v>19</v>
      </c>
      <c r="J40" s="1" t="s">
        <v>36</v>
      </c>
      <c r="K40" s="1">
        <v>3200.5962</v>
      </c>
      <c r="L40" s="1">
        <v>6</v>
      </c>
      <c r="M40" s="1">
        <v>0.17</v>
      </c>
      <c r="N40" s="1">
        <v>-77.203800000000001</v>
      </c>
      <c r="O40" s="6" t="str">
        <f t="shared" si="2"/>
        <v>Critical</v>
      </c>
      <c r="P40" s="15">
        <f>IF(ISBLANK(K40),AVERAGEIF(Table4[Category],I40,Table4[Sales]),K40)</f>
        <v>3200.5962</v>
      </c>
      <c r="Q40" s="15">
        <f>IF(ISBLANK(N40),AVERAGEIF(Table4[Order Priority],O40,Table4[Profit]),N40)</f>
        <v>-77.203800000000001</v>
      </c>
    </row>
    <row r="41" spans="1:17" ht="31.25" customHeight="1" x14ac:dyDescent="0.45">
      <c r="A41" s="5" t="s">
        <v>165</v>
      </c>
      <c r="B41" s="5" t="str">
        <f t="shared" si="1"/>
        <v>42319</v>
      </c>
      <c r="C41" s="2">
        <v>42319</v>
      </c>
      <c r="D41" s="1" t="s">
        <v>166</v>
      </c>
      <c r="E41" s="1" t="s">
        <v>167</v>
      </c>
      <c r="F41" s="1" t="s">
        <v>515</v>
      </c>
      <c r="G41" s="1" t="s">
        <v>126</v>
      </c>
      <c r="H41" s="1" t="s">
        <v>53</v>
      </c>
      <c r="I41" s="1" t="s">
        <v>19</v>
      </c>
      <c r="J41" s="1" t="s">
        <v>29</v>
      </c>
      <c r="K41" s="1">
        <v>4518.78</v>
      </c>
      <c r="L41" s="1">
        <v>7</v>
      </c>
      <c r="M41" s="1">
        <v>0</v>
      </c>
      <c r="N41" s="1">
        <v>632.52</v>
      </c>
      <c r="O41" s="6" t="str">
        <f t="shared" si="2"/>
        <v>Medium</v>
      </c>
      <c r="P41" s="15">
        <f>IF(ISBLANK(K41),AVERAGEIF(Table4[Category],I41,Table4[Sales]),K41)</f>
        <v>4518.78</v>
      </c>
      <c r="Q41" s="15">
        <f>IF(ISBLANK(N41),AVERAGEIF(Table4[Order Priority],O41,Table4[Profit]),N41)</f>
        <v>632.52</v>
      </c>
    </row>
    <row r="42" spans="1:17" ht="31.25" customHeight="1" x14ac:dyDescent="0.45">
      <c r="A42" s="5" t="s">
        <v>168</v>
      </c>
      <c r="B42" s="5" t="str">
        <f t="shared" si="1"/>
        <v>42273</v>
      </c>
      <c r="C42" s="1" t="s">
        <v>169</v>
      </c>
      <c r="D42" s="1" t="s">
        <v>170</v>
      </c>
      <c r="E42" s="1" t="s">
        <v>171</v>
      </c>
      <c r="F42" s="1" t="s">
        <v>516</v>
      </c>
      <c r="G42" s="1" t="s">
        <v>126</v>
      </c>
      <c r="H42" s="1" t="s">
        <v>53</v>
      </c>
      <c r="I42" s="1" t="s">
        <v>35</v>
      </c>
      <c r="J42" s="1" t="s">
        <v>29</v>
      </c>
      <c r="K42" s="1">
        <v>5667.87</v>
      </c>
      <c r="L42" s="1">
        <v>13</v>
      </c>
      <c r="M42" s="1">
        <v>0</v>
      </c>
      <c r="N42" s="1">
        <v>2097.0300000000002</v>
      </c>
      <c r="O42" s="6" t="str">
        <f t="shared" si="2"/>
        <v>High</v>
      </c>
      <c r="P42" s="16">
        <f>IF(ISBLANK(K42),AVERAGEIF(Table4[Category],I42,Table4[Sales]),K42)</f>
        <v>5667.87</v>
      </c>
      <c r="Q42" s="16">
        <f>IF(ISBLANK(N42),AVERAGEIF(Table4[Order Priority],O42,Table4[Profit]),N42)</f>
        <v>2097.0300000000002</v>
      </c>
    </row>
    <row r="43" spans="1:17" ht="31.25" customHeight="1" x14ac:dyDescent="0.45">
      <c r="A43" s="5" t="s">
        <v>172</v>
      </c>
      <c r="B43" s="5" t="str">
        <f t="shared" si="1"/>
        <v>41621</v>
      </c>
      <c r="C43" s="1" t="s">
        <v>173</v>
      </c>
      <c r="D43" s="1" t="s">
        <v>174</v>
      </c>
      <c r="E43" s="1" t="s">
        <v>175</v>
      </c>
      <c r="F43" s="1" t="s">
        <v>517</v>
      </c>
      <c r="G43" s="1" t="s">
        <v>99</v>
      </c>
      <c r="H43" s="1" t="s">
        <v>100</v>
      </c>
      <c r="I43" s="1" t="s">
        <v>19</v>
      </c>
      <c r="J43" s="1" t="s">
        <v>29</v>
      </c>
      <c r="K43" s="1">
        <v>5785.02</v>
      </c>
      <c r="L43" s="1">
        <v>9</v>
      </c>
      <c r="M43" s="1">
        <v>0</v>
      </c>
      <c r="N43" s="1">
        <v>404.73</v>
      </c>
      <c r="O43" s="6" t="str">
        <f t="shared" si="2"/>
        <v>Low</v>
      </c>
      <c r="P43" s="15">
        <f>IF(ISBLANK(K43),AVERAGEIF(Table4[Category],I43,Table4[Sales]),K43)</f>
        <v>5785.02</v>
      </c>
      <c r="Q43" s="15">
        <f>IF(ISBLANK(N43),AVERAGEIF(Table4[Order Priority],O43,Table4[Profit]),N43)</f>
        <v>404.73</v>
      </c>
    </row>
    <row r="44" spans="1:17" ht="31.25" customHeight="1" x14ac:dyDescent="0.45">
      <c r="A44" s="5" t="s">
        <v>176</v>
      </c>
      <c r="B44" s="5" t="str">
        <f t="shared" si="1"/>
        <v>41174</v>
      </c>
      <c r="C44" s="1" t="s">
        <v>177</v>
      </c>
      <c r="D44" s="1" t="s">
        <v>178</v>
      </c>
      <c r="E44" s="1" t="s">
        <v>179</v>
      </c>
      <c r="F44" s="1" t="s">
        <v>518</v>
      </c>
      <c r="G44" s="1" t="s">
        <v>25</v>
      </c>
      <c r="H44" s="1" t="s">
        <v>73</v>
      </c>
      <c r="I44" s="1" t="s">
        <v>47</v>
      </c>
      <c r="J44" s="1" t="s">
        <v>180</v>
      </c>
      <c r="K44" s="1">
        <v>3018.6239999999998</v>
      </c>
      <c r="L44" s="1">
        <v>7</v>
      </c>
      <c r="M44" s="1">
        <v>0.2</v>
      </c>
      <c r="N44" s="1">
        <v>377.24400000000003</v>
      </c>
      <c r="O44" s="6" t="str">
        <f t="shared" si="2"/>
        <v>Low</v>
      </c>
      <c r="P44" s="15">
        <f>IF(ISBLANK(K44),AVERAGEIF(Table4[Category],I44,Table4[Sales]),K44)</f>
        <v>3018.6239999999998</v>
      </c>
      <c r="Q44" s="15">
        <f>IF(ISBLANK(N44),AVERAGEIF(Table4[Order Priority],O44,Table4[Profit]),N44)</f>
        <v>377.24400000000003</v>
      </c>
    </row>
    <row r="45" spans="1:17" ht="31.25" customHeight="1" x14ac:dyDescent="0.45">
      <c r="A45" s="5" t="s">
        <v>181</v>
      </c>
      <c r="B45" s="5" t="str">
        <f t="shared" si="1"/>
        <v>41719</v>
      </c>
      <c r="C45" s="1" t="s">
        <v>182</v>
      </c>
      <c r="D45" s="1" t="s">
        <v>183</v>
      </c>
      <c r="E45" s="1" t="s">
        <v>478</v>
      </c>
      <c r="F45" s="1" t="s">
        <v>478</v>
      </c>
      <c r="G45" s="1" t="s">
        <v>42</v>
      </c>
      <c r="H45" s="1" t="s">
        <v>184</v>
      </c>
      <c r="I45" s="1" t="s">
        <v>35</v>
      </c>
      <c r="J45" s="1" t="s">
        <v>29</v>
      </c>
      <c r="K45" s="1">
        <v>86.45</v>
      </c>
      <c r="L45" s="1">
        <v>7</v>
      </c>
      <c r="M45" s="1">
        <v>0</v>
      </c>
      <c r="N45" s="1"/>
      <c r="O45" s="6" t="str">
        <f t="shared" si="2"/>
        <v>Critical</v>
      </c>
      <c r="P45" s="16">
        <f>IF(ISBLANK(K45),AVERAGEIF(Table4[Category],I45,Table4[Sales]),K45)</f>
        <v>86.45</v>
      </c>
      <c r="Q45" s="16">
        <f>IF(ISBLANK(N45),AVERAGEIF(Table4[Order Priority],O45,Table4[Profit]),N45)</f>
        <v>-390.4273300000001</v>
      </c>
    </row>
    <row r="46" spans="1:17" ht="31.25" customHeight="1" x14ac:dyDescent="0.45">
      <c r="A46" s="5" t="s">
        <v>185</v>
      </c>
      <c r="B46" s="5" t="str">
        <f t="shared" si="1"/>
        <v>41706</v>
      </c>
      <c r="C46" s="2">
        <v>41854</v>
      </c>
      <c r="D46" s="2">
        <v>41706</v>
      </c>
      <c r="E46" s="1" t="s">
        <v>186</v>
      </c>
      <c r="F46" s="1" t="s">
        <v>519</v>
      </c>
      <c r="G46" s="1" t="s">
        <v>72</v>
      </c>
      <c r="H46" s="1" t="s">
        <v>73</v>
      </c>
      <c r="I46" s="1" t="s">
        <v>35</v>
      </c>
      <c r="J46" s="1" t="s">
        <v>77</v>
      </c>
      <c r="K46" s="1">
        <v>2092.5</v>
      </c>
      <c r="L46" s="1">
        <v>5</v>
      </c>
      <c r="M46" s="1">
        <v>0.1</v>
      </c>
      <c r="N46" s="1">
        <v>720.75</v>
      </c>
      <c r="O46" s="6" t="str">
        <f t="shared" si="2"/>
        <v>Medium</v>
      </c>
      <c r="P46" s="15">
        <f>IF(ISBLANK(K46),AVERAGEIF(Table4[Category],I46,Table4[Sales]),K46)</f>
        <v>2092.5</v>
      </c>
      <c r="Q46" s="15">
        <f>IF(ISBLANK(N46),AVERAGEIF(Table4[Order Priority],O46,Table4[Profit]),N46)</f>
        <v>720.75</v>
      </c>
    </row>
    <row r="47" spans="1:17" ht="31.25" customHeight="1" x14ac:dyDescent="0.45">
      <c r="A47" s="5" t="s">
        <v>187</v>
      </c>
      <c r="B47" s="5" t="str">
        <f t="shared" si="1"/>
        <v>42244</v>
      </c>
      <c r="C47" s="1" t="s">
        <v>188</v>
      </c>
      <c r="D47" s="1" t="s">
        <v>189</v>
      </c>
      <c r="E47" s="1" t="s">
        <v>190</v>
      </c>
      <c r="F47" s="1" t="s">
        <v>520</v>
      </c>
      <c r="G47" s="1" t="s">
        <v>67</v>
      </c>
      <c r="H47" s="1" t="s">
        <v>95</v>
      </c>
      <c r="I47" s="1" t="s">
        <v>35</v>
      </c>
      <c r="J47" s="1" t="s">
        <v>48</v>
      </c>
      <c r="K47" s="1">
        <v>2761.2</v>
      </c>
      <c r="L47" s="1">
        <v>6</v>
      </c>
      <c r="M47" s="1">
        <v>0</v>
      </c>
      <c r="N47" s="1">
        <v>110.34</v>
      </c>
      <c r="O47" s="6" t="str">
        <f t="shared" si="2"/>
        <v>Low</v>
      </c>
      <c r="P47" s="15">
        <f>IF(ISBLANK(K47),AVERAGEIF(Table4[Category],I47,Table4[Sales]),K47)</f>
        <v>2761.2</v>
      </c>
      <c r="Q47" s="15">
        <f>IF(ISBLANK(N47),AVERAGEIF(Table4[Order Priority],O47,Table4[Profit]),N47)</f>
        <v>110.34</v>
      </c>
    </row>
    <row r="48" spans="1:17" ht="31.25" customHeight="1" x14ac:dyDescent="0.45">
      <c r="A48" s="5" t="s">
        <v>191</v>
      </c>
      <c r="B48" s="5" t="str">
        <f t="shared" si="1"/>
        <v>42125</v>
      </c>
      <c r="C48" s="2">
        <v>42009</v>
      </c>
      <c r="D48" s="2">
        <v>42009</v>
      </c>
      <c r="E48" s="1" t="s">
        <v>192</v>
      </c>
      <c r="F48" s="1" t="s">
        <v>521</v>
      </c>
      <c r="G48" s="1" t="s">
        <v>126</v>
      </c>
      <c r="H48" s="1" t="s">
        <v>53</v>
      </c>
      <c r="I48" s="1" t="s">
        <v>19</v>
      </c>
      <c r="J48" s="1" t="s">
        <v>26</v>
      </c>
      <c r="K48" s="1">
        <v>2174.13</v>
      </c>
      <c r="L48" s="1">
        <v>7</v>
      </c>
      <c r="M48" s="1">
        <v>0</v>
      </c>
      <c r="N48" s="1">
        <v>500.01</v>
      </c>
      <c r="O48" s="6" t="str">
        <f t="shared" si="2"/>
        <v>Medium</v>
      </c>
      <c r="P48" s="16">
        <f>IF(ISBLANK(K48),AVERAGEIF(Table4[Category],I48,Table4[Sales]),K48)</f>
        <v>2174.13</v>
      </c>
      <c r="Q48" s="16">
        <f>IF(ISBLANK(N48),AVERAGEIF(Table4[Order Priority],O48,Table4[Profit]),N48)</f>
        <v>500.01</v>
      </c>
    </row>
    <row r="49" spans="1:17" ht="31.25" customHeight="1" x14ac:dyDescent="0.45">
      <c r="A49" s="5" t="s">
        <v>193</v>
      </c>
      <c r="B49" s="5" t="str">
        <f t="shared" si="1"/>
        <v>42356</v>
      </c>
      <c r="C49" s="1" t="s">
        <v>140</v>
      </c>
      <c r="D49" s="1" t="s">
        <v>194</v>
      </c>
      <c r="E49" s="1" t="s">
        <v>195</v>
      </c>
      <c r="F49" s="1" t="s">
        <v>522</v>
      </c>
      <c r="G49" s="1" t="s">
        <v>196</v>
      </c>
      <c r="H49" s="1" t="s">
        <v>64</v>
      </c>
      <c r="I49" s="1" t="s">
        <v>35</v>
      </c>
      <c r="J49" s="1" t="s">
        <v>26</v>
      </c>
      <c r="K49" s="1"/>
      <c r="L49" s="1">
        <v>11</v>
      </c>
      <c r="M49" s="1">
        <v>0</v>
      </c>
      <c r="N49" s="1">
        <v>868.12</v>
      </c>
      <c r="O49" s="6" t="str">
        <f t="shared" si="2"/>
        <v>Medium</v>
      </c>
      <c r="P49" s="15">
        <f>IF(ISBLANK(K49),AVERAGEIF(Table4[Category],I49,Table4[Sales]),K49)</f>
        <v>2398.8796666666672</v>
      </c>
      <c r="Q49" s="15">
        <f>IF(ISBLANK(N49),AVERAGEIF(Table4[Order Priority],O49,Table4[Profit]),N49)</f>
        <v>868.12</v>
      </c>
    </row>
    <row r="50" spans="1:17" ht="31.25" customHeight="1" x14ac:dyDescent="0.45">
      <c r="A50" s="5" t="s">
        <v>197</v>
      </c>
      <c r="B50" s="5" t="str">
        <f t="shared" si="1"/>
        <v>41206</v>
      </c>
      <c r="C50" s="1" t="s">
        <v>198</v>
      </c>
      <c r="D50" s="1" t="s">
        <v>199</v>
      </c>
      <c r="E50" s="1" t="s">
        <v>121</v>
      </c>
      <c r="F50" s="1" t="s">
        <v>508</v>
      </c>
      <c r="G50" s="1" t="s">
        <v>42</v>
      </c>
      <c r="H50" s="1" t="s">
        <v>45</v>
      </c>
      <c r="I50" s="1" t="s">
        <v>200</v>
      </c>
      <c r="J50" s="1" t="s">
        <v>142</v>
      </c>
      <c r="K50" s="1">
        <v>49.408000000000001</v>
      </c>
      <c r="L50" s="1">
        <v>4</v>
      </c>
      <c r="M50" s="1">
        <v>0.2</v>
      </c>
      <c r="N50" s="1"/>
      <c r="O50" s="6" t="str">
        <f t="shared" si="2"/>
        <v>Critical</v>
      </c>
      <c r="P50" s="15">
        <f>IF(ISBLANK(K50),AVERAGEIF(Table4[Category],I50,Table4[Sales]),K50)</f>
        <v>49.408000000000001</v>
      </c>
      <c r="Q50" s="15">
        <f>IF(ISBLANK(N50),AVERAGEIF(Table4[Order Priority],O50,Table4[Profit]),N50)</f>
        <v>-390.4273300000001</v>
      </c>
    </row>
    <row r="51" spans="1:17" ht="31.25" customHeight="1" x14ac:dyDescent="0.45">
      <c r="A51" s="5" t="s">
        <v>201</v>
      </c>
      <c r="B51" s="5" t="str">
        <f t="shared" si="1"/>
        <v>42265</v>
      </c>
      <c r="C51" s="1" t="s">
        <v>202</v>
      </c>
      <c r="D51" s="1" t="s">
        <v>203</v>
      </c>
      <c r="E51" s="1" t="s">
        <v>204</v>
      </c>
      <c r="F51" s="1" t="s">
        <v>523</v>
      </c>
      <c r="G51" s="1" t="s">
        <v>205</v>
      </c>
      <c r="H51" s="1" t="s">
        <v>206</v>
      </c>
      <c r="I51" s="1" t="s">
        <v>19</v>
      </c>
      <c r="J51" s="1" t="s">
        <v>26</v>
      </c>
      <c r="K51" s="1">
        <v>2108.64</v>
      </c>
      <c r="L51" s="1">
        <v>8</v>
      </c>
      <c r="M51" s="1">
        <v>0</v>
      </c>
      <c r="N51" s="1">
        <v>527.04</v>
      </c>
      <c r="O51" s="6" t="str">
        <f t="shared" si="2"/>
        <v>Medium</v>
      </c>
      <c r="P51" s="16">
        <f>IF(ISBLANK(K51),AVERAGEIF(Table4[Category],I51,Table4[Sales]),K51)</f>
        <v>2108.64</v>
      </c>
      <c r="Q51" s="16">
        <f>IF(ISBLANK(N51),AVERAGEIF(Table4[Order Priority],O51,Table4[Profit]),N51)</f>
        <v>527.04</v>
      </c>
    </row>
    <row r="52" spans="1:17" ht="31.25" customHeight="1" x14ac:dyDescent="0.45">
      <c r="A52" s="5" t="s">
        <v>151</v>
      </c>
      <c r="B52" s="5" t="str">
        <f t="shared" si="1"/>
        <v>41273</v>
      </c>
      <c r="C52" s="1" t="s">
        <v>152</v>
      </c>
      <c r="D52" s="1" t="s">
        <v>153</v>
      </c>
      <c r="E52" s="1" t="s">
        <v>121</v>
      </c>
      <c r="F52" s="1" t="s">
        <v>508</v>
      </c>
      <c r="G52" s="1" t="s">
        <v>42</v>
      </c>
      <c r="H52" s="1" t="s">
        <v>122</v>
      </c>
      <c r="I52" s="1" t="s">
        <v>47</v>
      </c>
      <c r="J52" s="1" t="s">
        <v>48</v>
      </c>
      <c r="K52" s="1"/>
      <c r="L52" s="1">
        <v>3</v>
      </c>
      <c r="M52" s="1">
        <v>0</v>
      </c>
      <c r="N52" s="1">
        <v>8.6940000000000008</v>
      </c>
      <c r="O52" s="6" t="str">
        <f t="shared" si="2"/>
        <v>Low</v>
      </c>
      <c r="P52" s="15">
        <f>IF(ISBLANK(K52),AVERAGEIF(Table4[Category],I52,Table4[Sales]),K52)</f>
        <v>1621.4477189189192</v>
      </c>
      <c r="Q52" s="15">
        <f>IF(ISBLANK(N52),AVERAGEIF(Table4[Order Priority],O52,Table4[Profit]),N52)</f>
        <v>8.6940000000000008</v>
      </c>
    </row>
    <row r="53" spans="1:17" ht="31.25" customHeight="1" x14ac:dyDescent="0.45">
      <c r="A53" s="5" t="s">
        <v>108</v>
      </c>
      <c r="B53" s="5" t="str">
        <f t="shared" si="1"/>
        <v>41259</v>
      </c>
      <c r="C53" s="3">
        <v>41259</v>
      </c>
      <c r="D53" s="1" t="s">
        <v>110</v>
      </c>
      <c r="E53" s="1" t="s">
        <v>111</v>
      </c>
      <c r="F53" s="1" t="s">
        <v>506</v>
      </c>
      <c r="G53" s="1" t="s">
        <v>112</v>
      </c>
      <c r="H53" s="1" t="s">
        <v>95</v>
      </c>
      <c r="I53" s="1" t="s">
        <v>35</v>
      </c>
      <c r="J53" s="1" t="s">
        <v>36</v>
      </c>
      <c r="K53" s="1"/>
      <c r="L53" s="1">
        <v>5</v>
      </c>
      <c r="M53" s="1">
        <v>0</v>
      </c>
      <c r="N53" s="1"/>
      <c r="O53" s="6" t="str">
        <f t="shared" si="2"/>
        <v>Critical</v>
      </c>
      <c r="P53" s="15">
        <f>IF(ISBLANK(K53),AVERAGEIF(Table4[Category],I53,Table4[Sales]),K53)</f>
        <v>2398.8796666666672</v>
      </c>
      <c r="Q53" s="15">
        <f>IF(ISBLANK(N53),AVERAGEIF(Table4[Order Priority],O53,Table4[Profit]),N53)</f>
        <v>-390.4273300000001</v>
      </c>
    </row>
    <row r="54" spans="1:17" ht="31.25" customHeight="1" x14ac:dyDescent="0.45">
      <c r="A54" s="5" t="s">
        <v>207</v>
      </c>
      <c r="B54" s="5" t="str">
        <f t="shared" si="1"/>
        <v>41991</v>
      </c>
      <c r="C54" s="1" t="s">
        <v>208</v>
      </c>
      <c r="D54" s="1" t="s">
        <v>208</v>
      </c>
      <c r="E54" s="1" t="s">
        <v>209</v>
      </c>
      <c r="F54" s="1" t="s">
        <v>524</v>
      </c>
      <c r="G54" s="1" t="s">
        <v>210</v>
      </c>
      <c r="H54" s="1" t="s">
        <v>89</v>
      </c>
      <c r="I54" s="1" t="s">
        <v>19</v>
      </c>
      <c r="J54" s="1" t="s">
        <v>36</v>
      </c>
      <c r="K54" s="1">
        <v>2582.16</v>
      </c>
      <c r="L54" s="1">
        <v>4</v>
      </c>
      <c r="M54" s="1">
        <v>0</v>
      </c>
      <c r="N54" s="1">
        <v>593.88</v>
      </c>
      <c r="O54" s="6" t="str">
        <f t="shared" si="2"/>
        <v>Medium</v>
      </c>
      <c r="P54" s="16">
        <f>IF(ISBLANK(K54),AVERAGEIF(Table4[Category],I54,Table4[Sales]),K54)</f>
        <v>2582.16</v>
      </c>
      <c r="Q54" s="16">
        <f>IF(ISBLANK(N54),AVERAGEIF(Table4[Order Priority],O54,Table4[Profit]),N54)</f>
        <v>593.88</v>
      </c>
    </row>
    <row r="55" spans="1:17" ht="31.25" customHeight="1" x14ac:dyDescent="0.45">
      <c r="A55" s="5" t="s">
        <v>211</v>
      </c>
      <c r="B55" s="5" t="str">
        <f t="shared" si="1"/>
        <v>41424</v>
      </c>
      <c r="C55" s="1" t="s">
        <v>212</v>
      </c>
      <c r="D55" s="1" t="s">
        <v>213</v>
      </c>
      <c r="E55" s="1" t="s">
        <v>214</v>
      </c>
      <c r="F55" s="1" t="s">
        <v>525</v>
      </c>
      <c r="G55" s="1" t="s">
        <v>126</v>
      </c>
      <c r="H55" s="1" t="s">
        <v>53</v>
      </c>
      <c r="I55" s="1" t="s">
        <v>19</v>
      </c>
      <c r="J55" s="1" t="s">
        <v>180</v>
      </c>
      <c r="K55" s="1">
        <v>1526.52</v>
      </c>
      <c r="L55" s="1">
        <v>4</v>
      </c>
      <c r="M55" s="1">
        <v>0</v>
      </c>
      <c r="N55" s="1">
        <v>732.72</v>
      </c>
      <c r="O55" s="6" t="str">
        <f t="shared" si="2"/>
        <v>Medium</v>
      </c>
      <c r="P55" s="15">
        <f>IF(ISBLANK(K55),AVERAGEIF(Table4[Category],I55,Table4[Sales]),K55)</f>
        <v>1526.52</v>
      </c>
      <c r="Q55" s="15">
        <f>IF(ISBLANK(N55),AVERAGEIF(Table4[Order Priority],O55,Table4[Profit]),N55)</f>
        <v>732.72</v>
      </c>
    </row>
    <row r="56" spans="1:17" ht="31.25" customHeight="1" x14ac:dyDescent="0.45">
      <c r="A56" s="5" t="s">
        <v>118</v>
      </c>
      <c r="B56" s="5" t="str">
        <f t="shared" si="1"/>
        <v>41020</v>
      </c>
      <c r="C56" s="1" t="s">
        <v>119</v>
      </c>
      <c r="D56" s="1" t="s">
        <v>120</v>
      </c>
      <c r="E56" s="1" t="s">
        <v>121</v>
      </c>
      <c r="F56" s="1" t="s">
        <v>508</v>
      </c>
      <c r="G56" s="1" t="s">
        <v>42</v>
      </c>
      <c r="H56" s="4" t="s">
        <v>215</v>
      </c>
      <c r="I56" s="1" t="s">
        <v>19</v>
      </c>
      <c r="J56" s="1" t="s">
        <v>29</v>
      </c>
      <c r="K56" s="1">
        <v>9.9120000000000008</v>
      </c>
      <c r="L56" s="1">
        <v>3</v>
      </c>
      <c r="M56" s="1">
        <v>0.2</v>
      </c>
      <c r="N56" s="1"/>
      <c r="O56" s="6" t="str">
        <f t="shared" si="2"/>
        <v>Critical</v>
      </c>
      <c r="P56" s="15">
        <f>IF(ISBLANK(K56),AVERAGEIF(Table4[Category],I56,Table4[Sales]),K56)</f>
        <v>9.9120000000000008</v>
      </c>
      <c r="Q56" s="15">
        <f>IF(ISBLANK(N56),AVERAGEIF(Table4[Order Priority],O56,Table4[Profit]),N56)</f>
        <v>-390.4273300000001</v>
      </c>
    </row>
    <row r="57" spans="1:17" ht="31.25" customHeight="1" x14ac:dyDescent="0.45">
      <c r="A57" s="5" t="s">
        <v>216</v>
      </c>
      <c r="B57" s="5" t="str">
        <f t="shared" si="1"/>
        <v>41419</v>
      </c>
      <c r="C57" s="1" t="s">
        <v>217</v>
      </c>
      <c r="D57" s="1" t="s">
        <v>218</v>
      </c>
      <c r="E57" s="1" t="s">
        <v>219</v>
      </c>
      <c r="F57" s="1" t="s">
        <v>526</v>
      </c>
      <c r="G57" s="1" t="s">
        <v>126</v>
      </c>
      <c r="H57" s="1" t="s">
        <v>53</v>
      </c>
      <c r="I57" s="1" t="s">
        <v>35</v>
      </c>
      <c r="J57" s="1" t="s">
        <v>36</v>
      </c>
      <c r="K57" s="1">
        <v>1745.34</v>
      </c>
      <c r="L57" s="1">
        <v>2</v>
      </c>
      <c r="M57" s="1">
        <v>0</v>
      </c>
      <c r="N57" s="1">
        <v>226.86</v>
      </c>
      <c r="O57" s="6" t="str">
        <f t="shared" si="2"/>
        <v>Low</v>
      </c>
      <c r="P57" s="16">
        <f>IF(ISBLANK(K57),AVERAGEIF(Table4[Category],I57,Table4[Sales]),K57)</f>
        <v>1745.34</v>
      </c>
      <c r="Q57" s="16">
        <f>IF(ISBLANK(N57),AVERAGEIF(Table4[Order Priority],O57,Table4[Profit]),N57)</f>
        <v>226.86</v>
      </c>
    </row>
    <row r="58" spans="1:17" ht="31.25" customHeight="1" x14ac:dyDescent="0.45">
      <c r="A58" s="5" t="s">
        <v>220</v>
      </c>
      <c r="B58" s="5" t="str">
        <f t="shared" si="1"/>
        <v>42221</v>
      </c>
      <c r="C58" s="2">
        <v>42132</v>
      </c>
      <c r="D58" s="2">
        <v>42163</v>
      </c>
      <c r="E58" s="1" t="s">
        <v>221</v>
      </c>
      <c r="F58" s="1" t="s">
        <v>527</v>
      </c>
      <c r="G58" s="1" t="s">
        <v>17</v>
      </c>
      <c r="H58" s="1" t="s">
        <v>18</v>
      </c>
      <c r="I58" s="1" t="s">
        <v>47</v>
      </c>
      <c r="J58" s="1" t="s">
        <v>36</v>
      </c>
      <c r="K58" s="1">
        <v>4191.5069999999996</v>
      </c>
      <c r="L58" s="1">
        <v>9</v>
      </c>
      <c r="M58" s="1">
        <v>0.1</v>
      </c>
      <c r="N58" s="1">
        <v>1164.2670000000001</v>
      </c>
      <c r="O58" s="6" t="str">
        <f t="shared" si="2"/>
        <v>High</v>
      </c>
      <c r="P58" s="15">
        <f>IF(ISBLANK(K58),AVERAGEIF(Table4[Category],I58,Table4[Sales]),K58)</f>
        <v>4191.5069999999996</v>
      </c>
      <c r="Q58" s="15">
        <f>IF(ISBLANK(N58),AVERAGEIF(Table4[Order Priority],O58,Table4[Profit]),N58)</f>
        <v>1164.2670000000001</v>
      </c>
    </row>
    <row r="59" spans="1:17" ht="31.25" customHeight="1" x14ac:dyDescent="0.45">
      <c r="A59" s="5" t="s">
        <v>150</v>
      </c>
      <c r="B59" s="5" t="str">
        <f t="shared" si="1"/>
        <v>41041</v>
      </c>
      <c r="C59" s="2">
        <v>41248</v>
      </c>
      <c r="D59" s="1" t="s">
        <v>222</v>
      </c>
      <c r="E59" s="1" t="s">
        <v>121</v>
      </c>
      <c r="F59" s="1" t="s">
        <v>508</v>
      </c>
      <c r="G59" s="1" t="s">
        <v>42</v>
      </c>
      <c r="H59" s="1" t="s">
        <v>45</v>
      </c>
      <c r="I59" s="1" t="s">
        <v>200</v>
      </c>
      <c r="J59" s="1" t="s">
        <v>46</v>
      </c>
      <c r="K59" s="1">
        <v>8</v>
      </c>
      <c r="L59" s="1">
        <v>2</v>
      </c>
      <c r="M59" s="1">
        <v>0</v>
      </c>
      <c r="N59" s="1">
        <v>3.84</v>
      </c>
      <c r="O59" s="6" t="str">
        <f t="shared" si="2"/>
        <v>Low</v>
      </c>
      <c r="P59" s="15">
        <f>IF(ISBLANK(K59),AVERAGEIF(Table4[Category],I59,Table4[Sales]),K59)</f>
        <v>8</v>
      </c>
      <c r="Q59" s="15">
        <f>IF(ISBLANK(N59),AVERAGEIF(Table4[Order Priority],O59,Table4[Profit]),N59)</f>
        <v>3.84</v>
      </c>
    </row>
    <row r="60" spans="1:17" ht="31.25" customHeight="1" x14ac:dyDescent="0.45">
      <c r="A60" s="5" t="s">
        <v>223</v>
      </c>
      <c r="B60" s="5" t="str">
        <f t="shared" si="1"/>
        <v>42074</v>
      </c>
      <c r="C60" s="2">
        <v>42311</v>
      </c>
      <c r="D60" s="1" t="s">
        <v>146</v>
      </c>
      <c r="E60" s="1" t="s">
        <v>224</v>
      </c>
      <c r="F60" s="1" t="s">
        <v>528</v>
      </c>
      <c r="G60" s="1" t="s">
        <v>225</v>
      </c>
      <c r="H60" s="1" t="s">
        <v>53</v>
      </c>
      <c r="I60" s="1" t="s">
        <v>226</v>
      </c>
      <c r="J60" s="1" t="s">
        <v>77</v>
      </c>
      <c r="K60" s="1">
        <v>3063.27</v>
      </c>
      <c r="L60" s="1">
        <v>7</v>
      </c>
      <c r="M60" s="1">
        <v>0</v>
      </c>
      <c r="N60" s="1">
        <v>581.91</v>
      </c>
      <c r="O60" s="6" t="str">
        <f t="shared" si="2"/>
        <v>Medium</v>
      </c>
      <c r="P60" s="16">
        <f>IF(ISBLANK(K60),AVERAGEIF(Table4[Category],I60,Table4[Sales]),K60)</f>
        <v>3063.27</v>
      </c>
      <c r="Q60" s="16">
        <f>IF(ISBLANK(N60),AVERAGEIF(Table4[Order Priority],O60,Table4[Profit]),N60)</f>
        <v>581.91</v>
      </c>
    </row>
    <row r="61" spans="1:17" ht="31.25" customHeight="1" x14ac:dyDescent="0.45">
      <c r="A61" s="5" t="s">
        <v>227</v>
      </c>
      <c r="B61" s="5" t="str">
        <f t="shared" si="1"/>
        <v>42357</v>
      </c>
      <c r="C61" s="1" t="s">
        <v>228</v>
      </c>
      <c r="D61" s="1" t="s">
        <v>229</v>
      </c>
      <c r="E61" s="1" t="s">
        <v>121</v>
      </c>
      <c r="F61" s="1" t="s">
        <v>508</v>
      </c>
      <c r="G61" s="1" t="s">
        <v>42</v>
      </c>
      <c r="H61" s="1" t="s">
        <v>122</v>
      </c>
      <c r="I61" s="1" t="s">
        <v>47</v>
      </c>
      <c r="J61" s="1" t="s">
        <v>29</v>
      </c>
      <c r="K61" s="1">
        <v>18.704000000000001</v>
      </c>
      <c r="L61" s="1">
        <v>7</v>
      </c>
      <c r="M61" s="1">
        <v>0.2</v>
      </c>
      <c r="N61" s="1">
        <v>2.3380000000000001</v>
      </c>
      <c r="O61" s="6" t="str">
        <f t="shared" si="2"/>
        <v>Low</v>
      </c>
      <c r="P61" s="15">
        <f>IF(ISBLANK(K61),AVERAGEIF(Table4[Category],I61,Table4[Sales]),K61)</f>
        <v>18.704000000000001</v>
      </c>
      <c r="Q61" s="15">
        <f>IF(ISBLANK(N61),AVERAGEIF(Table4[Order Priority],O61,Table4[Profit]),N61)</f>
        <v>2.3380000000000001</v>
      </c>
    </row>
    <row r="62" spans="1:17" ht="31.25" customHeight="1" x14ac:dyDescent="0.45">
      <c r="A62" s="5" t="s">
        <v>230</v>
      </c>
      <c r="B62" s="5" t="str">
        <f t="shared" si="1"/>
        <v>42227</v>
      </c>
      <c r="C62" s="2">
        <v>42316</v>
      </c>
      <c r="D62" s="1" t="s">
        <v>231</v>
      </c>
      <c r="E62" s="1" t="s">
        <v>232</v>
      </c>
      <c r="F62" s="1" t="s">
        <v>529</v>
      </c>
      <c r="G62" s="1" t="s">
        <v>25</v>
      </c>
      <c r="H62" s="1" t="s">
        <v>73</v>
      </c>
      <c r="I62" s="1" t="s">
        <v>19</v>
      </c>
      <c r="J62" s="1" t="s">
        <v>180</v>
      </c>
      <c r="K62" s="1">
        <v>4473</v>
      </c>
      <c r="L62" s="1">
        <v>7</v>
      </c>
      <c r="M62" s="1">
        <v>0</v>
      </c>
      <c r="N62" s="1">
        <v>313.11</v>
      </c>
      <c r="O62" s="6" t="str">
        <f t="shared" si="2"/>
        <v>Low</v>
      </c>
      <c r="P62" s="15">
        <f>IF(ISBLANK(K62),AVERAGEIF(Table4[Category],I62,Table4[Sales]),K62)</f>
        <v>4473</v>
      </c>
      <c r="Q62" s="15">
        <f>IF(ISBLANK(N62),AVERAGEIF(Table4[Order Priority],O62,Table4[Profit]),N62)</f>
        <v>313.11</v>
      </c>
    </row>
    <row r="63" spans="1:17" ht="31.25" customHeight="1" x14ac:dyDescent="0.45">
      <c r="A63" s="5" t="s">
        <v>233</v>
      </c>
      <c r="B63" s="5" t="str">
        <f t="shared" si="1"/>
        <v>41882</v>
      </c>
      <c r="C63" s="1" t="s">
        <v>234</v>
      </c>
      <c r="D63" s="2">
        <v>41707</v>
      </c>
      <c r="E63" s="1" t="s">
        <v>235</v>
      </c>
      <c r="F63" s="1" t="s">
        <v>530</v>
      </c>
      <c r="G63" s="1" t="s">
        <v>25</v>
      </c>
      <c r="H63" s="1" t="s">
        <v>73</v>
      </c>
      <c r="I63" s="1" t="s">
        <v>19</v>
      </c>
      <c r="J63" s="1" t="s">
        <v>142</v>
      </c>
      <c r="K63" s="1">
        <v>1502.01</v>
      </c>
      <c r="L63" s="1">
        <v>9</v>
      </c>
      <c r="M63" s="1">
        <v>0</v>
      </c>
      <c r="N63" s="1">
        <v>225.18</v>
      </c>
      <c r="O63" s="6" t="str">
        <f t="shared" si="2"/>
        <v>Low</v>
      </c>
      <c r="P63" s="16">
        <f>IF(ISBLANK(K63),AVERAGEIF(Table4[Category],I63,Table4[Sales]),K63)</f>
        <v>1502.01</v>
      </c>
      <c r="Q63" s="16">
        <f>IF(ISBLANK(N63),AVERAGEIF(Table4[Order Priority],O63,Table4[Profit]),N63)</f>
        <v>225.18</v>
      </c>
    </row>
    <row r="64" spans="1:17" ht="31.25" customHeight="1" x14ac:dyDescent="0.45">
      <c r="A64" s="5" t="s">
        <v>236</v>
      </c>
      <c r="B64" s="5" t="str">
        <f t="shared" si="1"/>
        <v>42022</v>
      </c>
      <c r="C64" s="1" t="s">
        <v>156</v>
      </c>
      <c r="D64" s="1" t="s">
        <v>237</v>
      </c>
      <c r="E64" s="1" t="s">
        <v>238</v>
      </c>
      <c r="F64" s="1" t="s">
        <v>531</v>
      </c>
      <c r="G64" s="1" t="s">
        <v>67</v>
      </c>
      <c r="H64" s="1" t="s">
        <v>95</v>
      </c>
      <c r="I64" s="1" t="s">
        <v>35</v>
      </c>
      <c r="J64" s="1" t="s">
        <v>29</v>
      </c>
      <c r="K64" s="1">
        <v>5049</v>
      </c>
      <c r="L64" s="1">
        <v>11</v>
      </c>
      <c r="M64" s="1">
        <v>0</v>
      </c>
      <c r="N64" s="1">
        <v>3799.5593480000002</v>
      </c>
      <c r="O64" s="6" t="str">
        <f t="shared" si="2"/>
        <v>High</v>
      </c>
      <c r="P64" s="15">
        <f>IF(ISBLANK(K64),AVERAGEIF(Table4[Category],I64,Table4[Sales]),K64)</f>
        <v>5049</v>
      </c>
      <c r="Q64" s="15">
        <f>IF(ISBLANK(N64),AVERAGEIF(Table4[Order Priority],O64,Table4[Profit]),N64)</f>
        <v>3799.5593480000002</v>
      </c>
    </row>
    <row r="65" spans="1:17" ht="31.25" customHeight="1" x14ac:dyDescent="0.45">
      <c r="A65" s="5" t="s">
        <v>239</v>
      </c>
      <c r="B65" s="5" t="str">
        <f t="shared" si="1"/>
        <v>42007</v>
      </c>
      <c r="C65" s="2">
        <v>42064</v>
      </c>
      <c r="D65" s="1" t="s">
        <v>146</v>
      </c>
      <c r="E65" s="1" t="s">
        <v>240</v>
      </c>
      <c r="F65" s="1" t="s">
        <v>532</v>
      </c>
      <c r="G65" s="1" t="s">
        <v>42</v>
      </c>
      <c r="H65" s="1" t="s">
        <v>184</v>
      </c>
      <c r="I65" s="1" t="s">
        <v>19</v>
      </c>
      <c r="J65" s="1" t="s">
        <v>29</v>
      </c>
      <c r="K65" s="1">
        <v>695.7</v>
      </c>
      <c r="L65" s="1">
        <v>5</v>
      </c>
      <c r="M65" s="1">
        <v>0</v>
      </c>
      <c r="N65" s="1">
        <v>-27.827999999999999</v>
      </c>
      <c r="O65" s="6" t="str">
        <f t="shared" si="2"/>
        <v>Critical</v>
      </c>
      <c r="P65" s="15">
        <f>IF(ISBLANK(K65),AVERAGEIF(Table4[Category],I65,Table4[Sales]),K65)</f>
        <v>695.7</v>
      </c>
      <c r="Q65" s="15">
        <f>IF(ISBLANK(N65),AVERAGEIF(Table4[Order Priority],O65,Table4[Profit]),N65)</f>
        <v>-27.827999999999999</v>
      </c>
    </row>
    <row r="66" spans="1:17" ht="31.25" customHeight="1" x14ac:dyDescent="0.45">
      <c r="A66" s="5" t="s">
        <v>241</v>
      </c>
      <c r="B66" s="5" t="str">
        <f t="shared" si="1"/>
        <v>42345</v>
      </c>
      <c r="C66" s="2">
        <v>42197</v>
      </c>
      <c r="D66" s="2">
        <v>42346</v>
      </c>
      <c r="E66" s="1" t="s">
        <v>242</v>
      </c>
      <c r="F66" s="1" t="s">
        <v>533</v>
      </c>
      <c r="G66" s="1" t="s">
        <v>243</v>
      </c>
      <c r="H66" s="1" t="s">
        <v>81</v>
      </c>
      <c r="I66" s="1" t="s">
        <v>35</v>
      </c>
      <c r="J66" s="1" t="s">
        <v>26</v>
      </c>
      <c r="K66" s="1">
        <v>2188.0500000000002</v>
      </c>
      <c r="L66" s="1">
        <v>5</v>
      </c>
      <c r="M66" s="1">
        <v>0</v>
      </c>
      <c r="N66" s="1">
        <v>1050.1500000000001</v>
      </c>
      <c r="O66" s="6" t="str">
        <f t="shared" ref="O66:O97" si="3">IF(N66&gt;1000,"High",IF(N66&gt;=500,"Medium",IF(N66&lt;=0,"Critical","Low")))</f>
        <v>High</v>
      </c>
      <c r="P66" s="16">
        <f>IF(ISBLANK(K66),AVERAGEIF(Table4[Category],I66,Table4[Sales]),K66)</f>
        <v>2188.0500000000002</v>
      </c>
      <c r="Q66" s="16">
        <f>IF(ISBLANK(N66),AVERAGEIF(Table4[Order Priority],O66,Table4[Profit]),N66)</f>
        <v>1050.1500000000001</v>
      </c>
    </row>
    <row r="67" spans="1:17" ht="31.25" customHeight="1" x14ac:dyDescent="0.45">
      <c r="A67" s="9" t="s">
        <v>244</v>
      </c>
      <c r="B67" s="5" t="str">
        <f t="shared" ref="B67:B130" si="4">RIGHT(A67,5)</f>
        <v>42354</v>
      </c>
      <c r="C67" s="1" t="s">
        <v>296</v>
      </c>
      <c r="D67" s="1" t="s">
        <v>228</v>
      </c>
      <c r="E67" s="1" t="s">
        <v>245</v>
      </c>
      <c r="F67" s="1" t="s">
        <v>534</v>
      </c>
      <c r="G67" s="1" t="s">
        <v>126</v>
      </c>
      <c r="H67" s="1" t="s">
        <v>53</v>
      </c>
      <c r="I67" s="1" t="s">
        <v>35</v>
      </c>
      <c r="J67" s="1" t="s">
        <v>77</v>
      </c>
      <c r="K67" s="1">
        <v>1920.36</v>
      </c>
      <c r="L67" s="1">
        <v>4</v>
      </c>
      <c r="M67" s="1">
        <v>0</v>
      </c>
      <c r="N67" s="1">
        <v>652.91999999999996</v>
      </c>
      <c r="O67" s="6" t="str">
        <f t="shared" si="3"/>
        <v>Medium</v>
      </c>
      <c r="P67" s="15">
        <f>IF(ISBLANK(K67),AVERAGEIF(Table4[Category],I67,Table4[Sales]),K67)</f>
        <v>1920.36</v>
      </c>
      <c r="Q67" s="15">
        <f>IF(ISBLANK(N67),AVERAGEIF(Table4[Order Priority],O67,Table4[Profit]),N67)</f>
        <v>652.91999999999996</v>
      </c>
    </row>
    <row r="68" spans="1:17" ht="31.25" customHeight="1" x14ac:dyDescent="0.45">
      <c r="A68" s="5" t="s">
        <v>246</v>
      </c>
      <c r="B68" s="5" t="str">
        <f t="shared" si="4"/>
        <v>42328</v>
      </c>
      <c r="C68" s="1" t="s">
        <v>247</v>
      </c>
      <c r="D68" s="1" t="s">
        <v>247</v>
      </c>
      <c r="E68" s="1" t="s">
        <v>248</v>
      </c>
      <c r="F68" s="1" t="s">
        <v>535</v>
      </c>
      <c r="G68" s="1" t="s">
        <v>103</v>
      </c>
      <c r="H68" s="1" t="s">
        <v>104</v>
      </c>
      <c r="I68" s="1" t="s">
        <v>19</v>
      </c>
      <c r="J68" s="1" t="s">
        <v>180</v>
      </c>
      <c r="K68" s="1">
        <v>1704</v>
      </c>
      <c r="L68" s="1">
        <v>4</v>
      </c>
      <c r="M68" s="1">
        <v>0</v>
      </c>
      <c r="N68" s="1">
        <v>119.28</v>
      </c>
      <c r="O68" s="6" t="str">
        <f t="shared" si="3"/>
        <v>Low</v>
      </c>
      <c r="P68" s="15">
        <f>IF(ISBLANK(K68),AVERAGEIF(Table4[Category],I68,Table4[Sales]),K68)</f>
        <v>1704</v>
      </c>
      <c r="Q68" s="15">
        <f>IF(ISBLANK(N68),AVERAGEIF(Table4[Order Priority],O68,Table4[Profit]),N68)</f>
        <v>119.28</v>
      </c>
    </row>
    <row r="69" spans="1:17" ht="31.25" customHeight="1" x14ac:dyDescent="0.45">
      <c r="A69" s="5" t="s">
        <v>249</v>
      </c>
      <c r="B69" s="5" t="str">
        <f t="shared" si="4"/>
        <v>41221</v>
      </c>
      <c r="C69" s="2">
        <v>41132</v>
      </c>
      <c r="D69" s="2">
        <v>41193</v>
      </c>
      <c r="E69" s="1" t="s">
        <v>250</v>
      </c>
      <c r="F69" s="1" t="s">
        <v>536</v>
      </c>
      <c r="G69" s="1" t="s">
        <v>251</v>
      </c>
      <c r="H69" s="1" t="s">
        <v>252</v>
      </c>
      <c r="I69" s="1" t="s">
        <v>35</v>
      </c>
      <c r="J69" s="1" t="s">
        <v>46</v>
      </c>
      <c r="K69" s="1">
        <v>1858.68</v>
      </c>
      <c r="L69" s="1">
        <v>4</v>
      </c>
      <c r="M69" s="1">
        <v>0</v>
      </c>
      <c r="N69" s="1"/>
      <c r="O69" s="6" t="str">
        <f t="shared" si="3"/>
        <v>Critical</v>
      </c>
      <c r="P69" s="16">
        <f>IF(ISBLANK(K69),AVERAGEIF(Table4[Category],I69,Table4[Sales]),K69)</f>
        <v>1858.68</v>
      </c>
      <c r="Q69" s="16">
        <f>IF(ISBLANK(N69),AVERAGEIF(Table4[Order Priority],O69,Table4[Profit]),N69)</f>
        <v>-390.4273300000001</v>
      </c>
    </row>
    <row r="70" spans="1:17" ht="31.25" customHeight="1" x14ac:dyDescent="0.45">
      <c r="A70" s="5" t="s">
        <v>253</v>
      </c>
      <c r="B70" s="5" t="str">
        <f t="shared" si="4"/>
        <v>47197</v>
      </c>
      <c r="C70" s="2">
        <v>41797</v>
      </c>
      <c r="D70" s="2">
        <v>41888</v>
      </c>
      <c r="E70" s="1" t="s">
        <v>254</v>
      </c>
      <c r="F70" s="1" t="s">
        <v>537</v>
      </c>
      <c r="G70" s="1" t="s">
        <v>255</v>
      </c>
      <c r="H70" s="1" t="s">
        <v>95</v>
      </c>
      <c r="I70" s="1" t="s">
        <v>35</v>
      </c>
      <c r="J70" s="1" t="s">
        <v>29</v>
      </c>
      <c r="K70" s="1">
        <v>3298.26</v>
      </c>
      <c r="L70" s="1">
        <v>7</v>
      </c>
      <c r="M70" s="1">
        <v>0</v>
      </c>
      <c r="N70" s="1">
        <v>1055.25</v>
      </c>
      <c r="O70" s="6" t="str">
        <f t="shared" si="3"/>
        <v>High</v>
      </c>
      <c r="P70" s="15">
        <f>IF(ISBLANK(K70),AVERAGEIF(Table4[Category],I70,Table4[Sales]),K70)</f>
        <v>3298.26</v>
      </c>
      <c r="Q70" s="15">
        <f>IF(ISBLANK(N70),AVERAGEIF(Table4[Order Priority],O70,Table4[Profit]),N70)</f>
        <v>1055.25</v>
      </c>
    </row>
    <row r="71" spans="1:17" ht="31.25" customHeight="1" x14ac:dyDescent="0.45">
      <c r="A71" s="5" t="s">
        <v>256</v>
      </c>
      <c r="B71" s="5" t="str">
        <f t="shared" si="4"/>
        <v>41234</v>
      </c>
      <c r="C71" s="1" t="s">
        <v>257</v>
      </c>
      <c r="D71" s="1" t="s">
        <v>258</v>
      </c>
      <c r="E71" s="1" t="s">
        <v>259</v>
      </c>
      <c r="F71" s="1" t="s">
        <v>538</v>
      </c>
      <c r="G71" s="1" t="s">
        <v>260</v>
      </c>
      <c r="H71" s="1" t="s">
        <v>104</v>
      </c>
      <c r="I71" s="1" t="s">
        <v>47</v>
      </c>
      <c r="J71" s="1" t="s">
        <v>46</v>
      </c>
      <c r="K71" s="1">
        <v>2443.48</v>
      </c>
      <c r="L71" s="1">
        <v>13</v>
      </c>
      <c r="M71" s="1">
        <v>0</v>
      </c>
      <c r="N71" s="1">
        <v>121.94</v>
      </c>
      <c r="O71" s="6" t="str">
        <f t="shared" si="3"/>
        <v>Low</v>
      </c>
      <c r="P71" s="15">
        <f>IF(ISBLANK(K71),AVERAGEIF(Table4[Category],I71,Table4[Sales]),K71)</f>
        <v>2443.48</v>
      </c>
      <c r="Q71" s="15">
        <f>IF(ISBLANK(N71),AVERAGEIF(Table4[Order Priority],O71,Table4[Profit]),N71)</f>
        <v>121.94</v>
      </c>
    </row>
    <row r="72" spans="1:17" ht="31.25" customHeight="1" x14ac:dyDescent="0.45">
      <c r="A72" s="5" t="s">
        <v>261</v>
      </c>
      <c r="B72" s="5" t="str">
        <f t="shared" si="4"/>
        <v>41727</v>
      </c>
      <c r="C72" s="1" t="s">
        <v>262</v>
      </c>
      <c r="D72" s="1" t="s">
        <v>263</v>
      </c>
      <c r="E72" s="1" t="s">
        <v>264</v>
      </c>
      <c r="F72" s="1" t="s">
        <v>539</v>
      </c>
      <c r="G72" s="1" t="s">
        <v>147</v>
      </c>
      <c r="H72" s="1" t="s">
        <v>148</v>
      </c>
      <c r="I72" s="1" t="s">
        <v>35</v>
      </c>
      <c r="J72" s="1" t="s">
        <v>26</v>
      </c>
      <c r="K72" s="1"/>
      <c r="L72" s="1">
        <v>8</v>
      </c>
      <c r="M72" s="1">
        <v>0</v>
      </c>
      <c r="N72" s="1">
        <v>1523.52</v>
      </c>
      <c r="O72" s="6" t="str">
        <f t="shared" si="3"/>
        <v>High</v>
      </c>
      <c r="P72" s="16">
        <f>IF(ISBLANK(K72),AVERAGEIF(Table4[Category],I72,Table4[Sales]),K72)</f>
        <v>2398.8796666666672</v>
      </c>
      <c r="Q72" s="16">
        <f>IF(ISBLANK(N72),AVERAGEIF(Table4[Order Priority],O72,Table4[Profit]),N72)</f>
        <v>1523.52</v>
      </c>
    </row>
    <row r="73" spans="1:17" ht="31.25" customHeight="1" x14ac:dyDescent="0.45">
      <c r="A73" s="5" t="s">
        <v>265</v>
      </c>
      <c r="B73" s="5" t="str">
        <f t="shared" si="4"/>
        <v>42242</v>
      </c>
      <c r="C73" s="1" t="s">
        <v>266</v>
      </c>
      <c r="D73" s="1" t="s">
        <v>267</v>
      </c>
      <c r="E73" s="1" t="s">
        <v>268</v>
      </c>
      <c r="F73" s="1" t="s">
        <v>540</v>
      </c>
      <c r="G73" s="1" t="s">
        <v>163</v>
      </c>
      <c r="H73" s="1" t="s">
        <v>164</v>
      </c>
      <c r="I73" s="1" t="s">
        <v>35</v>
      </c>
      <c r="J73" s="1" t="s">
        <v>77</v>
      </c>
      <c r="K73" s="1">
        <v>3427.1496000000002</v>
      </c>
      <c r="L73" s="1">
        <v>7</v>
      </c>
      <c r="M73" s="1">
        <v>0</v>
      </c>
      <c r="N73" s="1">
        <v>-452.81040000000002</v>
      </c>
      <c r="O73" s="6" t="str">
        <f t="shared" si="3"/>
        <v>Critical</v>
      </c>
      <c r="P73" s="15">
        <f>IF(ISBLANK(K73),AVERAGEIF(Table4[Category],I73,Table4[Sales]),K73)</f>
        <v>3427.1496000000002</v>
      </c>
      <c r="Q73" s="15">
        <f>IF(ISBLANK(N73),AVERAGEIF(Table4[Order Priority],O73,Table4[Profit]),N73)</f>
        <v>-452.81040000000002</v>
      </c>
    </row>
    <row r="74" spans="1:17" ht="31.25" customHeight="1" x14ac:dyDescent="0.45">
      <c r="A74" s="5" t="s">
        <v>269</v>
      </c>
      <c r="B74" s="5" t="str">
        <f t="shared" si="4"/>
        <v>41537</v>
      </c>
      <c r="C74" s="1" t="s">
        <v>270</v>
      </c>
      <c r="D74" s="1" t="s">
        <v>271</v>
      </c>
      <c r="E74" s="1" t="s">
        <v>272</v>
      </c>
      <c r="F74" s="1" t="s">
        <v>541</v>
      </c>
      <c r="G74" s="4" t="s">
        <v>99</v>
      </c>
      <c r="H74" s="1" t="s">
        <v>479</v>
      </c>
      <c r="I74" s="1" t="s">
        <v>19</v>
      </c>
      <c r="J74" s="1" t="s">
        <v>26</v>
      </c>
      <c r="K74" s="1">
        <v>3441.69</v>
      </c>
      <c r="L74" s="1">
        <v>5</v>
      </c>
      <c r="M74" s="1">
        <v>0.1</v>
      </c>
      <c r="N74" s="1">
        <v>38.07</v>
      </c>
      <c r="O74" s="6" t="str">
        <f t="shared" si="3"/>
        <v>Low</v>
      </c>
      <c r="P74" s="15">
        <f>IF(ISBLANK(K74),AVERAGEIF(Table4[Category],I74,Table4[Sales]),K74)</f>
        <v>3441.69</v>
      </c>
      <c r="Q74" s="15">
        <f>IF(ISBLANK(N74),AVERAGEIF(Table4[Order Priority],O74,Table4[Profit]),N74)</f>
        <v>38.07</v>
      </c>
    </row>
    <row r="75" spans="1:17" ht="31.25" customHeight="1" x14ac:dyDescent="0.45">
      <c r="A75" s="5" t="s">
        <v>273</v>
      </c>
      <c r="B75" s="5" t="str">
        <f t="shared" si="4"/>
        <v>42140</v>
      </c>
      <c r="C75" s="1" t="s">
        <v>274</v>
      </c>
      <c r="D75" s="1" t="s">
        <v>275</v>
      </c>
      <c r="E75" s="1" t="s">
        <v>195</v>
      </c>
      <c r="F75" s="1" t="s">
        <v>522</v>
      </c>
      <c r="G75" s="1" t="s">
        <v>17</v>
      </c>
      <c r="H75" s="1" t="s">
        <v>18</v>
      </c>
      <c r="I75" s="1" t="s">
        <v>19</v>
      </c>
      <c r="J75" s="1" t="s">
        <v>46</v>
      </c>
      <c r="K75" s="1">
        <v>2863.35</v>
      </c>
      <c r="L75" s="1">
        <v>5</v>
      </c>
      <c r="M75" s="1">
        <v>0.1</v>
      </c>
      <c r="N75" s="1">
        <v>858.9</v>
      </c>
      <c r="O75" s="6" t="str">
        <f t="shared" si="3"/>
        <v>Medium</v>
      </c>
      <c r="P75" s="16">
        <f>IF(ISBLANK(K75),AVERAGEIF(Table4[Category],I75,Table4[Sales]),K75)</f>
        <v>2863.35</v>
      </c>
      <c r="Q75" s="16">
        <f>IF(ISBLANK(N75),AVERAGEIF(Table4[Order Priority],O75,Table4[Profit]),N75)</f>
        <v>858.9</v>
      </c>
    </row>
    <row r="76" spans="1:17" ht="31.25" customHeight="1" x14ac:dyDescent="0.45">
      <c r="A76" s="5" t="s">
        <v>391</v>
      </c>
      <c r="B76" s="5" t="str">
        <f t="shared" si="4"/>
        <v>41884</v>
      </c>
      <c r="C76" s="2">
        <v>42043</v>
      </c>
      <c r="D76" s="2">
        <v>42224</v>
      </c>
      <c r="E76" s="1" t="s">
        <v>240</v>
      </c>
      <c r="F76" s="1" t="s">
        <v>532</v>
      </c>
      <c r="G76" s="1" t="s">
        <v>42</v>
      </c>
      <c r="H76" s="1" t="s">
        <v>43</v>
      </c>
      <c r="I76" s="1" t="s">
        <v>19</v>
      </c>
      <c r="J76" s="1" t="s">
        <v>29</v>
      </c>
      <c r="K76" s="1"/>
      <c r="L76" s="1">
        <v>3</v>
      </c>
      <c r="M76" s="1">
        <v>0.4</v>
      </c>
      <c r="N76" s="1">
        <v>-263.99669999999998</v>
      </c>
      <c r="O76" s="6" t="str">
        <f t="shared" si="3"/>
        <v>Critical</v>
      </c>
      <c r="P76" s="15">
        <f>IF(ISBLANK(K76),AVERAGEIF(Table4[Category],I76,Table4[Sales]),K76)</f>
        <v>2460.5932578461534</v>
      </c>
      <c r="Q76" s="15">
        <f>IF(ISBLANK(N76),AVERAGEIF(Table4[Order Priority],O76,Table4[Profit]),N76)</f>
        <v>-263.99669999999998</v>
      </c>
    </row>
    <row r="77" spans="1:17" ht="31.25" customHeight="1" x14ac:dyDescent="0.45">
      <c r="A77" s="5" t="s">
        <v>276</v>
      </c>
      <c r="B77" s="5" t="str">
        <f t="shared" si="4"/>
        <v>41967</v>
      </c>
      <c r="C77" s="1" t="s">
        <v>277</v>
      </c>
      <c r="D77" s="1" t="s">
        <v>278</v>
      </c>
      <c r="E77" s="4" t="s">
        <v>279</v>
      </c>
      <c r="F77" s="1" t="s">
        <v>542</v>
      </c>
      <c r="G77" s="1" t="s">
        <v>42</v>
      </c>
      <c r="H77" s="1" t="s">
        <v>73</v>
      </c>
      <c r="I77" s="1" t="s">
        <v>280</v>
      </c>
      <c r="J77" s="1" t="s">
        <v>29</v>
      </c>
      <c r="K77" s="1">
        <v>1487.4</v>
      </c>
      <c r="L77" s="1">
        <v>10</v>
      </c>
      <c r="M77" s="1">
        <v>0</v>
      </c>
      <c r="N77" s="1">
        <v>728.7</v>
      </c>
      <c r="O77" s="6" t="str">
        <f t="shared" si="3"/>
        <v>Medium</v>
      </c>
      <c r="P77" s="15">
        <f>IF(ISBLANK(K77),AVERAGEIF(Table4[Category],I77,Table4[Sales]),K77)</f>
        <v>1487.4</v>
      </c>
      <c r="Q77" s="15">
        <f>IF(ISBLANK(N77),AVERAGEIF(Table4[Order Priority],O77,Table4[Profit]),N77)</f>
        <v>728.7</v>
      </c>
    </row>
    <row r="78" spans="1:17" ht="31.25" customHeight="1" x14ac:dyDescent="0.45">
      <c r="A78" s="5" t="s">
        <v>281</v>
      </c>
      <c r="B78" s="5" t="str">
        <f t="shared" si="4"/>
        <v>41221</v>
      </c>
      <c r="C78" s="2">
        <v>41132</v>
      </c>
      <c r="D78" s="2">
        <v>41193</v>
      </c>
      <c r="E78" s="1" t="s">
        <v>282</v>
      </c>
      <c r="F78" s="1" t="s">
        <v>543</v>
      </c>
      <c r="G78" s="1" t="s">
        <v>67</v>
      </c>
      <c r="H78" s="1" t="s">
        <v>95</v>
      </c>
      <c r="I78" s="1" t="s">
        <v>19</v>
      </c>
      <c r="J78" s="1" t="s">
        <v>48</v>
      </c>
      <c r="K78" s="1">
        <v>3200.04</v>
      </c>
      <c r="L78" s="1">
        <v>9</v>
      </c>
      <c r="M78" s="1">
        <v>0</v>
      </c>
      <c r="N78" s="1">
        <v>1183.95</v>
      </c>
      <c r="O78" s="6" t="str">
        <f t="shared" si="3"/>
        <v>High</v>
      </c>
      <c r="P78" s="16">
        <f>IF(ISBLANK(K78),AVERAGEIF(Table4[Category],I78,Table4[Sales]),K78)</f>
        <v>3200.04</v>
      </c>
      <c r="Q78" s="16">
        <f>IF(ISBLANK(N78),AVERAGEIF(Table4[Order Priority],O78,Table4[Profit]),N78)</f>
        <v>1183.95</v>
      </c>
    </row>
    <row r="79" spans="1:17" ht="31.25" customHeight="1" x14ac:dyDescent="0.45">
      <c r="A79" s="5" t="s">
        <v>283</v>
      </c>
      <c r="B79" s="5" t="str">
        <f t="shared" si="4"/>
        <v>41209</v>
      </c>
      <c r="C79" s="1" t="s">
        <v>199</v>
      </c>
      <c r="D79" s="1" t="s">
        <v>199</v>
      </c>
      <c r="E79" s="1" t="s">
        <v>284</v>
      </c>
      <c r="F79" s="1" t="s">
        <v>544</v>
      </c>
      <c r="G79" s="1" t="s">
        <v>126</v>
      </c>
      <c r="H79" s="4" t="s">
        <v>53</v>
      </c>
      <c r="I79" s="1" t="s">
        <v>19</v>
      </c>
      <c r="J79" s="1" t="s">
        <v>36</v>
      </c>
      <c r="K79" s="1">
        <v>2301</v>
      </c>
      <c r="L79" s="1">
        <v>5</v>
      </c>
      <c r="M79" s="1">
        <v>0</v>
      </c>
      <c r="N79" s="1">
        <v>91.95</v>
      </c>
      <c r="O79" s="6" t="str">
        <f t="shared" si="3"/>
        <v>Low</v>
      </c>
      <c r="P79" s="15">
        <f>IF(ISBLANK(K79),AVERAGEIF(Table4[Category],I79,Table4[Sales]),K79)</f>
        <v>2301</v>
      </c>
      <c r="Q79" s="15">
        <f>IF(ISBLANK(N79),AVERAGEIF(Table4[Order Priority],O79,Table4[Profit]),N79)</f>
        <v>91.95</v>
      </c>
    </row>
    <row r="80" spans="1:17" ht="31.25" customHeight="1" x14ac:dyDescent="0.45">
      <c r="A80" s="5" t="s">
        <v>391</v>
      </c>
      <c r="B80" s="5" t="str">
        <f t="shared" si="4"/>
        <v>41884</v>
      </c>
      <c r="C80" s="1" t="s">
        <v>285</v>
      </c>
      <c r="D80" s="1" t="s">
        <v>286</v>
      </c>
      <c r="E80" s="1" t="s">
        <v>287</v>
      </c>
      <c r="F80" s="1" t="s">
        <v>545</v>
      </c>
      <c r="G80" s="1" t="s">
        <v>72</v>
      </c>
      <c r="H80" s="1" t="s">
        <v>73</v>
      </c>
      <c r="I80" s="1" t="s">
        <v>35</v>
      </c>
      <c r="J80" s="1" t="s">
        <v>36</v>
      </c>
      <c r="K80" s="1">
        <v>5729.3459999999995</v>
      </c>
      <c r="L80" s="1">
        <v>14</v>
      </c>
      <c r="M80" s="1">
        <v>0.1</v>
      </c>
      <c r="N80" s="1">
        <v>63.545999999999999</v>
      </c>
      <c r="O80" s="6" t="str">
        <f t="shared" si="3"/>
        <v>Low</v>
      </c>
      <c r="P80" s="15">
        <f>IF(ISBLANK(K80),AVERAGEIF(Table4[Category],I80,Table4[Sales]),K80)</f>
        <v>5729.3459999999995</v>
      </c>
      <c r="Q80" s="15">
        <f>IF(ISBLANK(N80),AVERAGEIF(Table4[Order Priority],O80,Table4[Profit]),N80)</f>
        <v>63.545999999999999</v>
      </c>
    </row>
    <row r="81" spans="1:17" ht="31.25" customHeight="1" x14ac:dyDescent="0.45">
      <c r="A81" s="5" t="s">
        <v>288</v>
      </c>
      <c r="B81" s="5" t="str">
        <f t="shared" si="4"/>
        <v>42305</v>
      </c>
      <c r="C81" s="1" t="s">
        <v>289</v>
      </c>
      <c r="D81" s="1" t="s">
        <v>290</v>
      </c>
      <c r="E81" s="1" t="s">
        <v>141</v>
      </c>
      <c r="F81" s="1" t="s">
        <v>512</v>
      </c>
      <c r="G81" s="1" t="s">
        <v>291</v>
      </c>
      <c r="H81" s="1" t="s">
        <v>292</v>
      </c>
      <c r="I81" s="1" t="s">
        <v>19</v>
      </c>
      <c r="J81" s="1" t="s">
        <v>26</v>
      </c>
      <c r="K81" s="1">
        <v>5301.24</v>
      </c>
      <c r="L81" s="1">
        <v>14</v>
      </c>
      <c r="M81" s="1">
        <v>0</v>
      </c>
      <c r="N81" s="1">
        <v>2597.2800000000002</v>
      </c>
      <c r="O81" s="6" t="str">
        <f t="shared" si="3"/>
        <v>High</v>
      </c>
      <c r="P81" s="16">
        <f>IF(ISBLANK(K81),AVERAGEIF(Table4[Category],I81,Table4[Sales]),K81)</f>
        <v>5301.24</v>
      </c>
      <c r="Q81" s="16">
        <f>IF(ISBLANK(N81),AVERAGEIF(Table4[Order Priority],O81,Table4[Profit]),N81)</f>
        <v>2597.2800000000002</v>
      </c>
    </row>
    <row r="82" spans="1:17" ht="31.25" customHeight="1" x14ac:dyDescent="0.45">
      <c r="A82" s="5" t="s">
        <v>391</v>
      </c>
      <c r="B82" s="5" t="str">
        <f t="shared" si="4"/>
        <v>41884</v>
      </c>
      <c r="C82" s="1" t="s">
        <v>293</v>
      </c>
      <c r="D82" s="1" t="s">
        <v>294</v>
      </c>
      <c r="E82" s="1" t="s">
        <v>240</v>
      </c>
      <c r="F82" s="1" t="s">
        <v>532</v>
      </c>
      <c r="G82" s="1" t="s">
        <v>42</v>
      </c>
      <c r="H82" s="1" t="s">
        <v>45</v>
      </c>
      <c r="I82" s="1" t="s">
        <v>35</v>
      </c>
      <c r="J82" s="1" t="s">
        <v>26</v>
      </c>
      <c r="K82" s="1">
        <v>477.666</v>
      </c>
      <c r="L82" s="1">
        <v>2</v>
      </c>
      <c r="M82" s="1">
        <v>0.15</v>
      </c>
      <c r="N82" s="1">
        <v>84.293999999999997</v>
      </c>
      <c r="O82" s="6" t="str">
        <f t="shared" si="3"/>
        <v>Low</v>
      </c>
      <c r="P82" s="15">
        <f>IF(ISBLANK(K82),AVERAGEIF(Table4[Category],I82,Table4[Sales]),K82)</f>
        <v>477.666</v>
      </c>
      <c r="Q82" s="15">
        <f>IF(ISBLANK(N82),AVERAGEIF(Table4[Order Priority],O82,Table4[Profit]),N82)</f>
        <v>84.293999999999997</v>
      </c>
    </row>
    <row r="83" spans="1:17" ht="31.25" customHeight="1" x14ac:dyDescent="0.45">
      <c r="A83" s="5" t="s">
        <v>295</v>
      </c>
      <c r="B83" s="5" t="str">
        <f t="shared" si="4"/>
        <v>42252</v>
      </c>
      <c r="C83" s="2">
        <v>42133</v>
      </c>
      <c r="D83" s="2">
        <v>42164</v>
      </c>
      <c r="E83" s="1" t="s">
        <v>240</v>
      </c>
      <c r="F83" s="1" t="s">
        <v>532</v>
      </c>
      <c r="G83" s="1" t="s">
        <v>42</v>
      </c>
      <c r="H83" s="1" t="s">
        <v>45</v>
      </c>
      <c r="I83" s="1" t="s">
        <v>47</v>
      </c>
      <c r="J83" s="1" t="s">
        <v>36</v>
      </c>
      <c r="K83" s="1">
        <v>88.073999999999998</v>
      </c>
      <c r="L83" s="1">
        <v>7</v>
      </c>
      <c r="M83" s="1">
        <v>0.7</v>
      </c>
      <c r="N83" s="1">
        <v>-58.716000000000001</v>
      </c>
      <c r="O83" s="6" t="str">
        <f t="shared" si="3"/>
        <v>Critical</v>
      </c>
      <c r="P83" s="15">
        <f>IF(ISBLANK(K83),AVERAGEIF(Table4[Category],I83,Table4[Sales]),K83)</f>
        <v>88.073999999999998</v>
      </c>
      <c r="Q83" s="15">
        <f>IF(ISBLANK(N83),AVERAGEIF(Table4[Order Priority],O83,Table4[Profit]),N83)</f>
        <v>-58.716000000000001</v>
      </c>
    </row>
    <row r="84" spans="1:17" ht="31.25" customHeight="1" x14ac:dyDescent="0.45">
      <c r="A84" s="5" t="s">
        <v>391</v>
      </c>
      <c r="B84" s="5" t="str">
        <f t="shared" si="4"/>
        <v>41884</v>
      </c>
      <c r="C84" s="1" t="s">
        <v>296</v>
      </c>
      <c r="D84" s="2">
        <v>41761</v>
      </c>
      <c r="E84" s="1" t="s">
        <v>162</v>
      </c>
      <c r="F84" s="1" t="s">
        <v>514</v>
      </c>
      <c r="G84" s="1" t="s">
        <v>25</v>
      </c>
      <c r="H84" s="1" t="s">
        <v>73</v>
      </c>
      <c r="I84" s="1" t="s">
        <v>19</v>
      </c>
      <c r="J84" s="1" t="s">
        <v>48</v>
      </c>
      <c r="K84" s="1">
        <v>3219.9</v>
      </c>
      <c r="L84" s="1">
        <v>5</v>
      </c>
      <c r="M84" s="1">
        <v>0</v>
      </c>
      <c r="N84" s="1">
        <v>965.85</v>
      </c>
      <c r="O84" s="6" t="str">
        <f t="shared" si="3"/>
        <v>Medium</v>
      </c>
      <c r="P84" s="16">
        <f>IF(ISBLANK(K84),AVERAGEIF(Table4[Category],I84,Table4[Sales]),K84)</f>
        <v>3219.9</v>
      </c>
      <c r="Q84" s="16">
        <f>IF(ISBLANK(N84),AVERAGEIF(Table4[Order Priority],O84,Table4[Profit]),N84)</f>
        <v>965.85</v>
      </c>
    </row>
    <row r="85" spans="1:17" ht="31.25" customHeight="1" x14ac:dyDescent="0.45">
      <c r="A85" s="5" t="s">
        <v>297</v>
      </c>
      <c r="B85" s="5" t="str">
        <f t="shared" si="4"/>
        <v>41535</v>
      </c>
      <c r="C85" s="1" t="s">
        <v>298</v>
      </c>
      <c r="D85" s="1" t="s">
        <v>299</v>
      </c>
      <c r="E85" s="1" t="s">
        <v>300</v>
      </c>
      <c r="F85" s="1" t="s">
        <v>546</v>
      </c>
      <c r="G85" s="1" t="s">
        <v>163</v>
      </c>
      <c r="H85" s="1" t="s">
        <v>164</v>
      </c>
      <c r="I85" s="1" t="s">
        <v>47</v>
      </c>
      <c r="J85" s="1" t="s">
        <v>26</v>
      </c>
      <c r="K85" s="1">
        <v>2487.8087999999998</v>
      </c>
      <c r="L85" s="1">
        <v>5</v>
      </c>
      <c r="M85" s="1">
        <v>0.17</v>
      </c>
      <c r="N85" s="1">
        <v>-269.7912</v>
      </c>
      <c r="O85" s="6" t="str">
        <f t="shared" si="3"/>
        <v>Critical</v>
      </c>
      <c r="P85" s="15">
        <f>IF(ISBLANK(K85),AVERAGEIF(Table4[Category],I85,Table4[Sales]),K85)</f>
        <v>2487.8087999999998</v>
      </c>
      <c r="Q85" s="15">
        <f>IF(ISBLANK(N85),AVERAGEIF(Table4[Order Priority],O85,Table4[Profit]),N85)</f>
        <v>-269.7912</v>
      </c>
    </row>
    <row r="86" spans="1:17" ht="31.25" customHeight="1" x14ac:dyDescent="0.45">
      <c r="A86" s="5" t="s">
        <v>301</v>
      </c>
      <c r="B86" s="5" t="str">
        <f t="shared" si="4"/>
        <v>41966</v>
      </c>
      <c r="C86" s="1" t="s">
        <v>302</v>
      </c>
      <c r="D86" s="1" t="s">
        <v>302</v>
      </c>
      <c r="E86" s="1" t="s">
        <v>303</v>
      </c>
      <c r="F86" s="1" t="s">
        <v>547</v>
      </c>
      <c r="G86" s="1" t="s">
        <v>291</v>
      </c>
      <c r="H86" s="1" t="s">
        <v>292</v>
      </c>
      <c r="I86" s="1" t="s">
        <v>47</v>
      </c>
      <c r="J86" s="1" t="s">
        <v>29</v>
      </c>
      <c r="K86" s="1">
        <v>2266.44</v>
      </c>
      <c r="L86" s="1">
        <v>4</v>
      </c>
      <c r="M86" s="1">
        <v>0</v>
      </c>
      <c r="N86" s="1">
        <v>113.28</v>
      </c>
      <c r="O86" s="6" t="str">
        <f t="shared" si="3"/>
        <v>Low</v>
      </c>
      <c r="P86" s="15">
        <f>IF(ISBLANK(K86),AVERAGEIF(Table4[Category],I86,Table4[Sales]),K86)</f>
        <v>2266.44</v>
      </c>
      <c r="Q86" s="15">
        <f>IF(ISBLANK(N86),AVERAGEIF(Table4[Order Priority],O86,Table4[Profit]),N86)</f>
        <v>113.28</v>
      </c>
    </row>
    <row r="87" spans="1:17" ht="31.25" customHeight="1" x14ac:dyDescent="0.45">
      <c r="A87" s="5" t="s">
        <v>391</v>
      </c>
      <c r="B87" s="5" t="str">
        <f t="shared" si="4"/>
        <v>41884</v>
      </c>
      <c r="C87" s="1" t="s">
        <v>304</v>
      </c>
      <c r="D87" s="1" t="s">
        <v>304</v>
      </c>
      <c r="E87" s="1" t="s">
        <v>305</v>
      </c>
      <c r="F87" s="1" t="s">
        <v>548</v>
      </c>
      <c r="G87" s="1" t="s">
        <v>17</v>
      </c>
      <c r="H87" s="1" t="s">
        <v>18</v>
      </c>
      <c r="I87" s="1" t="s">
        <v>19</v>
      </c>
      <c r="J87" s="1" t="s">
        <v>77</v>
      </c>
      <c r="K87" s="1">
        <v>3068.3609999999999</v>
      </c>
      <c r="L87" s="1">
        <v>5</v>
      </c>
      <c r="M87" s="1">
        <v>0.1</v>
      </c>
      <c r="N87" s="1">
        <v>1124.9010000000001</v>
      </c>
      <c r="O87" s="6" t="str">
        <f t="shared" si="3"/>
        <v>High</v>
      </c>
      <c r="P87" s="16">
        <f>IF(ISBLANK(K87),AVERAGEIF(Table4[Category],I87,Table4[Sales]),K87)</f>
        <v>3068.3609999999999</v>
      </c>
      <c r="Q87" s="16">
        <f>IF(ISBLANK(N87),AVERAGEIF(Table4[Order Priority],O87,Table4[Profit]),N87)</f>
        <v>1124.9010000000001</v>
      </c>
    </row>
    <row r="88" spans="1:17" ht="31.25" customHeight="1" x14ac:dyDescent="0.45">
      <c r="A88" s="5" t="s">
        <v>306</v>
      </c>
      <c r="B88" s="5" t="str">
        <f t="shared" si="4"/>
        <v>41940</v>
      </c>
      <c r="C88" s="1" t="s">
        <v>307</v>
      </c>
      <c r="D88" s="1" t="s">
        <v>308</v>
      </c>
      <c r="E88" s="1" t="s">
        <v>309</v>
      </c>
      <c r="F88" s="1" t="s">
        <v>549</v>
      </c>
      <c r="G88" s="1" t="s">
        <v>225</v>
      </c>
      <c r="H88" s="1" t="s">
        <v>53</v>
      </c>
      <c r="I88" s="1" t="s">
        <v>35</v>
      </c>
      <c r="J88" s="1" t="s">
        <v>77</v>
      </c>
      <c r="K88" s="1">
        <v>3728.43</v>
      </c>
      <c r="L88" s="1">
        <v>9</v>
      </c>
      <c r="M88" s="1">
        <v>0</v>
      </c>
      <c r="N88" s="1">
        <v>1192.8599999999999</v>
      </c>
      <c r="O88" s="6" t="str">
        <f t="shared" si="3"/>
        <v>High</v>
      </c>
      <c r="P88" s="15">
        <f>IF(ISBLANK(K88),AVERAGEIF(Table4[Category],I88,Table4[Sales]),K88)</f>
        <v>3728.43</v>
      </c>
      <c r="Q88" s="15">
        <f>IF(ISBLANK(N88),AVERAGEIF(Table4[Order Priority],O88,Table4[Profit]),N88)</f>
        <v>1192.8599999999999</v>
      </c>
    </row>
    <row r="89" spans="1:17" ht="31.25" customHeight="1" x14ac:dyDescent="0.45">
      <c r="A89" s="5" t="s">
        <v>391</v>
      </c>
      <c r="B89" s="5" t="str">
        <f t="shared" si="4"/>
        <v>41884</v>
      </c>
      <c r="C89" s="2">
        <v>41985</v>
      </c>
      <c r="D89" s="1" t="s">
        <v>310</v>
      </c>
      <c r="E89" s="1" t="s">
        <v>478</v>
      </c>
      <c r="F89" s="1" t="s">
        <v>478</v>
      </c>
      <c r="G89" s="1" t="s">
        <v>67</v>
      </c>
      <c r="H89" s="1" t="s">
        <v>95</v>
      </c>
      <c r="I89" s="1" t="s">
        <v>19</v>
      </c>
      <c r="J89" s="1" t="s">
        <v>36</v>
      </c>
      <c r="K89" s="1">
        <v>1581.48</v>
      </c>
      <c r="L89" s="1">
        <v>5</v>
      </c>
      <c r="M89" s="1">
        <v>0</v>
      </c>
      <c r="N89" s="1"/>
      <c r="O89" s="6" t="str">
        <f t="shared" si="3"/>
        <v>Critical</v>
      </c>
      <c r="P89" s="15">
        <f>IF(ISBLANK(K89),AVERAGEIF(Table4[Category],I89,Table4[Sales]),K89)</f>
        <v>1581.48</v>
      </c>
      <c r="Q89" s="15">
        <f>IF(ISBLANK(N89),AVERAGEIF(Table4[Order Priority],O89,Table4[Profit]),N89)</f>
        <v>-390.4273300000001</v>
      </c>
    </row>
    <row r="90" spans="1:17" ht="31.25" customHeight="1" x14ac:dyDescent="0.45">
      <c r="A90" s="5" t="s">
        <v>311</v>
      </c>
      <c r="B90" s="5" t="str">
        <f t="shared" si="4"/>
        <v>41419</v>
      </c>
      <c r="C90" s="1" t="s">
        <v>217</v>
      </c>
      <c r="D90" s="1" t="s">
        <v>218</v>
      </c>
      <c r="E90" s="1" t="s">
        <v>219</v>
      </c>
      <c r="F90" s="1" t="s">
        <v>526</v>
      </c>
      <c r="G90" s="1" t="s">
        <v>126</v>
      </c>
      <c r="H90" s="1" t="s">
        <v>53</v>
      </c>
      <c r="I90" s="1" t="s">
        <v>19</v>
      </c>
      <c r="J90" s="1" t="s">
        <v>180</v>
      </c>
      <c r="K90" s="1">
        <v>1916.73</v>
      </c>
      <c r="L90" s="1">
        <v>3</v>
      </c>
      <c r="M90" s="1">
        <v>0</v>
      </c>
      <c r="N90" s="1">
        <v>498.33</v>
      </c>
      <c r="O90" s="6" t="str">
        <f t="shared" si="3"/>
        <v>Low</v>
      </c>
      <c r="P90" s="16">
        <f>IF(ISBLANK(K90),AVERAGEIF(Table4[Category],I90,Table4[Sales]),K90)</f>
        <v>1916.73</v>
      </c>
      <c r="Q90" s="16">
        <f>IF(ISBLANK(N90),AVERAGEIF(Table4[Order Priority],O90,Table4[Profit]),N90)</f>
        <v>498.33</v>
      </c>
    </row>
    <row r="91" spans="1:17" ht="31.25" customHeight="1" x14ac:dyDescent="0.45">
      <c r="A91" s="5" t="s">
        <v>312</v>
      </c>
      <c r="B91" s="5" t="str">
        <f t="shared" si="4"/>
        <v>42281</v>
      </c>
      <c r="C91" s="2">
        <v>42104</v>
      </c>
      <c r="D91" s="2">
        <v>42257</v>
      </c>
      <c r="E91" s="1" t="s">
        <v>240</v>
      </c>
      <c r="F91" s="1" t="s">
        <v>532</v>
      </c>
      <c r="G91" s="1" t="s">
        <v>42</v>
      </c>
      <c r="H91" s="1" t="s">
        <v>313</v>
      </c>
      <c r="I91" s="1" t="s">
        <v>35</v>
      </c>
      <c r="J91" s="1" t="s">
        <v>36</v>
      </c>
      <c r="K91" s="1">
        <v>171.28800000000001</v>
      </c>
      <c r="L91" s="1">
        <v>3</v>
      </c>
      <c r="M91" s="1">
        <v>1.433999491</v>
      </c>
      <c r="N91" s="1">
        <v>-6.4233000000000002</v>
      </c>
      <c r="O91" s="6" t="str">
        <f t="shared" si="3"/>
        <v>Critical</v>
      </c>
      <c r="P91" s="15">
        <f>IF(ISBLANK(K91),AVERAGEIF(Table4[Category],I91,Table4[Sales]),K91)</f>
        <v>171.28800000000001</v>
      </c>
      <c r="Q91" s="15">
        <f>IF(ISBLANK(N91),AVERAGEIF(Table4[Order Priority],O91,Table4[Profit]),N91)</f>
        <v>-6.4233000000000002</v>
      </c>
    </row>
    <row r="92" spans="1:17" ht="31.25" customHeight="1" x14ac:dyDescent="0.45">
      <c r="A92" s="5" t="s">
        <v>314</v>
      </c>
      <c r="B92" s="5" t="str">
        <f t="shared" si="4"/>
        <v>41975</v>
      </c>
      <c r="C92" s="2">
        <v>41682</v>
      </c>
      <c r="D92" s="2">
        <v>41738</v>
      </c>
      <c r="E92" s="1" t="s">
        <v>315</v>
      </c>
      <c r="F92" s="1" t="s">
        <v>550</v>
      </c>
      <c r="G92" s="1" t="s">
        <v>72</v>
      </c>
      <c r="H92" s="1" t="s">
        <v>73</v>
      </c>
      <c r="I92" s="1" t="s">
        <v>47</v>
      </c>
      <c r="J92" s="1" t="s">
        <v>29</v>
      </c>
      <c r="K92" s="1">
        <v>2432.16</v>
      </c>
      <c r="L92" s="1">
        <v>5</v>
      </c>
      <c r="M92" s="1">
        <v>0.1</v>
      </c>
      <c r="N92" s="1">
        <v>513.36</v>
      </c>
      <c r="O92" s="6" t="str">
        <f t="shared" si="3"/>
        <v>Medium</v>
      </c>
      <c r="P92" s="15">
        <f>IF(ISBLANK(K92),AVERAGEIF(Table4[Category],I92,Table4[Sales]),K92)</f>
        <v>2432.16</v>
      </c>
      <c r="Q92" s="15">
        <f>IF(ISBLANK(N92),AVERAGEIF(Table4[Order Priority],O92,Table4[Profit]),N92)</f>
        <v>513.36</v>
      </c>
    </row>
    <row r="93" spans="1:17" ht="31.25" customHeight="1" x14ac:dyDescent="0.45">
      <c r="A93" s="9" t="s">
        <v>239</v>
      </c>
      <c r="B93" s="5" t="str">
        <f t="shared" si="4"/>
        <v>42007</v>
      </c>
      <c r="C93" s="1" t="s">
        <v>296</v>
      </c>
      <c r="D93" s="2">
        <v>42125</v>
      </c>
      <c r="E93" s="1" t="s">
        <v>478</v>
      </c>
      <c r="F93" s="1" t="s">
        <v>478</v>
      </c>
      <c r="G93" s="1" t="s">
        <v>42</v>
      </c>
      <c r="H93" s="1" t="s">
        <v>184</v>
      </c>
      <c r="I93" s="1" t="s">
        <v>47</v>
      </c>
      <c r="J93" s="1" t="s">
        <v>46</v>
      </c>
      <c r="K93" s="1">
        <v>28.853999999999999</v>
      </c>
      <c r="L93" s="1">
        <v>6</v>
      </c>
      <c r="M93" s="1">
        <v>0.7</v>
      </c>
      <c r="N93" s="1">
        <v>-21.159600000000001</v>
      </c>
      <c r="O93" s="6" t="str">
        <f t="shared" si="3"/>
        <v>Critical</v>
      </c>
      <c r="P93" s="16">
        <f>IF(ISBLANK(K93),AVERAGEIF(Table4[Category],I93,Table4[Sales]),K93)</f>
        <v>28.853999999999999</v>
      </c>
      <c r="Q93" s="16">
        <f>IF(ISBLANK(N93),AVERAGEIF(Table4[Order Priority],O93,Table4[Profit]),N93)</f>
        <v>-21.159600000000001</v>
      </c>
    </row>
    <row r="94" spans="1:17" ht="31.25" customHeight="1" x14ac:dyDescent="0.45">
      <c r="A94" s="5" t="s">
        <v>316</v>
      </c>
      <c r="B94" s="5" t="str">
        <f t="shared" si="4"/>
        <v>41667</v>
      </c>
      <c r="C94" s="1" t="s">
        <v>22</v>
      </c>
      <c r="D94" s="1" t="s">
        <v>23</v>
      </c>
      <c r="E94" s="1" t="s">
        <v>317</v>
      </c>
      <c r="F94" s="1" t="s">
        <v>551</v>
      </c>
      <c r="G94" s="1" t="s">
        <v>318</v>
      </c>
      <c r="H94" s="1" t="s">
        <v>164</v>
      </c>
      <c r="I94" s="1" t="s">
        <v>35</v>
      </c>
      <c r="J94" s="1" t="s">
        <v>77</v>
      </c>
      <c r="K94" s="1"/>
      <c r="L94" s="1">
        <v>7</v>
      </c>
      <c r="M94" s="1">
        <v>0.25</v>
      </c>
      <c r="N94" s="1">
        <v>197</v>
      </c>
      <c r="O94" s="6" t="str">
        <f t="shared" si="3"/>
        <v>Low</v>
      </c>
      <c r="P94" s="15">
        <f>IF(ISBLANK(K94),AVERAGEIF(Table4[Category],I94,Table4[Sales]),K94)</f>
        <v>2398.8796666666672</v>
      </c>
      <c r="Q94" s="15">
        <f>IF(ISBLANK(N94),AVERAGEIF(Table4[Order Priority],O94,Table4[Profit]),N94)</f>
        <v>197</v>
      </c>
    </row>
    <row r="95" spans="1:17" ht="31.25" customHeight="1" x14ac:dyDescent="0.45">
      <c r="A95" s="5" t="s">
        <v>319</v>
      </c>
      <c r="B95" s="5" t="str">
        <f t="shared" si="4"/>
        <v>41401</v>
      </c>
      <c r="C95" s="2">
        <v>41460</v>
      </c>
      <c r="D95" s="2">
        <v>41460</v>
      </c>
      <c r="E95" s="4" t="s">
        <v>320</v>
      </c>
      <c r="F95" s="1" t="s">
        <v>552</v>
      </c>
      <c r="G95" s="1" t="s">
        <v>42</v>
      </c>
      <c r="H95" s="1" t="s">
        <v>18</v>
      </c>
      <c r="I95" s="1" t="s">
        <v>321</v>
      </c>
      <c r="J95" s="1" t="s">
        <v>29</v>
      </c>
      <c r="K95" s="1">
        <v>1847.52</v>
      </c>
      <c r="L95" s="1">
        <v>2</v>
      </c>
      <c r="M95" s="1">
        <v>0</v>
      </c>
      <c r="N95" s="1">
        <v>738.96</v>
      </c>
      <c r="O95" s="6" t="str">
        <f t="shared" si="3"/>
        <v>Medium</v>
      </c>
      <c r="P95" s="15">
        <f>IF(ISBLANK(K95),AVERAGEIF(Table4[Category],I95,Table4[Sales]),K95)</f>
        <v>1847.52</v>
      </c>
      <c r="Q95" s="15">
        <f>IF(ISBLANK(N95),AVERAGEIF(Table4[Order Priority],O95,Table4[Profit]),N95)</f>
        <v>738.96</v>
      </c>
    </row>
    <row r="96" spans="1:17" ht="31.25" customHeight="1" x14ac:dyDescent="0.45">
      <c r="A96" s="5" t="s">
        <v>391</v>
      </c>
      <c r="B96" s="5" t="str">
        <f t="shared" si="4"/>
        <v>41884</v>
      </c>
      <c r="C96" s="1" t="s">
        <v>322</v>
      </c>
      <c r="D96" s="1" t="s">
        <v>323</v>
      </c>
      <c r="E96" s="1" t="s">
        <v>324</v>
      </c>
      <c r="F96" s="1" t="s">
        <v>553</v>
      </c>
      <c r="G96" s="1" t="s">
        <v>325</v>
      </c>
      <c r="H96" s="1" t="s">
        <v>73</v>
      </c>
      <c r="I96" s="1" t="s">
        <v>35</v>
      </c>
      <c r="J96" s="1" t="s">
        <v>26</v>
      </c>
      <c r="K96" s="1">
        <v>2899.89</v>
      </c>
      <c r="L96" s="1">
        <v>7</v>
      </c>
      <c r="M96" s="1">
        <v>0</v>
      </c>
      <c r="N96" s="1">
        <v>927.78</v>
      </c>
      <c r="O96" s="6" t="str">
        <f t="shared" si="3"/>
        <v>Medium</v>
      </c>
      <c r="P96" s="16">
        <f>IF(ISBLANK(K96),AVERAGEIF(Table4[Category],I96,Table4[Sales]),K96)</f>
        <v>2899.89</v>
      </c>
      <c r="Q96" s="16">
        <f>IF(ISBLANK(N96),AVERAGEIF(Table4[Order Priority],O96,Table4[Profit]),N96)</f>
        <v>927.78</v>
      </c>
    </row>
    <row r="97" spans="1:17" ht="31.25" customHeight="1" x14ac:dyDescent="0.45">
      <c r="A97" s="5" t="s">
        <v>326</v>
      </c>
      <c r="B97" s="5" t="str">
        <f t="shared" si="4"/>
        <v>41606</v>
      </c>
      <c r="C97" s="1" t="s">
        <v>327</v>
      </c>
      <c r="D97" s="2">
        <v>41317</v>
      </c>
      <c r="E97" s="1" t="s">
        <v>315</v>
      </c>
      <c r="F97" s="1" t="s">
        <v>550</v>
      </c>
      <c r="G97" s="1" t="s">
        <v>17</v>
      </c>
      <c r="H97" s="1" t="s">
        <v>18</v>
      </c>
      <c r="I97" s="1" t="s">
        <v>35</v>
      </c>
      <c r="J97" s="1" t="s">
        <v>46</v>
      </c>
      <c r="K97" s="1">
        <v>2891.7</v>
      </c>
      <c r="L97" s="1">
        <v>7</v>
      </c>
      <c r="M97" s="1">
        <v>0.1</v>
      </c>
      <c r="N97" s="1">
        <v>96.39</v>
      </c>
      <c r="O97" s="6" t="str">
        <f t="shared" si="3"/>
        <v>Low</v>
      </c>
      <c r="P97" s="15">
        <f>IF(ISBLANK(K97),AVERAGEIF(Table4[Category],I97,Table4[Sales]),K97)</f>
        <v>2891.7</v>
      </c>
      <c r="Q97" s="15">
        <f>IF(ISBLANK(N97),AVERAGEIF(Table4[Order Priority],O97,Table4[Profit]),N97)</f>
        <v>96.39</v>
      </c>
    </row>
    <row r="98" spans="1:17" ht="31.25" customHeight="1" x14ac:dyDescent="0.45">
      <c r="A98" s="5" t="s">
        <v>328</v>
      </c>
      <c r="B98" s="5" t="str">
        <f t="shared" si="4"/>
        <v>41546</v>
      </c>
      <c r="C98" s="1" t="s">
        <v>329</v>
      </c>
      <c r="D98" s="1" t="s">
        <v>329</v>
      </c>
      <c r="E98" s="1" t="s">
        <v>330</v>
      </c>
      <c r="F98" s="1" t="s">
        <v>554</v>
      </c>
      <c r="G98" s="1" t="s">
        <v>72</v>
      </c>
      <c r="H98" s="1" t="s">
        <v>73</v>
      </c>
      <c r="I98" s="1" t="s">
        <v>19</v>
      </c>
      <c r="J98" s="1" t="s">
        <v>180</v>
      </c>
      <c r="K98" s="1">
        <v>2016.846</v>
      </c>
      <c r="L98" s="1">
        <v>9</v>
      </c>
      <c r="M98" s="1">
        <v>0.15</v>
      </c>
      <c r="N98" s="1">
        <v>-5.3999999999999999E-2</v>
      </c>
      <c r="O98" s="6" t="str">
        <f t="shared" ref="O98:O129" si="5">IF(N98&gt;1000,"High",IF(N98&gt;=500,"Medium",IF(N98&lt;=0,"Critical","Low")))</f>
        <v>Critical</v>
      </c>
      <c r="P98" s="15">
        <f>IF(ISBLANK(K98),AVERAGEIF(Table4[Category],I98,Table4[Sales]),K98)</f>
        <v>2016.846</v>
      </c>
      <c r="Q98" s="15">
        <f>IF(ISBLANK(N98),AVERAGEIF(Table4[Order Priority],O98,Table4[Profit]),N98)</f>
        <v>-5.3999999999999999E-2</v>
      </c>
    </row>
    <row r="99" spans="1:17" ht="31.25" customHeight="1" x14ac:dyDescent="0.45">
      <c r="A99" s="5" t="s">
        <v>331</v>
      </c>
      <c r="B99" s="5" t="str">
        <f t="shared" si="4"/>
        <v>41885</v>
      </c>
      <c r="C99" s="3">
        <v>41885</v>
      </c>
      <c r="D99" s="2">
        <v>41768</v>
      </c>
      <c r="E99" s="1" t="s">
        <v>332</v>
      </c>
      <c r="F99" s="1" t="s">
        <v>555</v>
      </c>
      <c r="G99" s="1" t="s">
        <v>72</v>
      </c>
      <c r="H99" s="1" t="s">
        <v>73</v>
      </c>
      <c r="I99" s="1" t="s">
        <v>47</v>
      </c>
      <c r="J99" s="1" t="s">
        <v>26</v>
      </c>
      <c r="K99" s="1">
        <v>3155.5439999999999</v>
      </c>
      <c r="L99" s="1">
        <v>7</v>
      </c>
      <c r="M99" s="1">
        <v>0.1</v>
      </c>
      <c r="N99" s="1">
        <v>34.944000000000003</v>
      </c>
      <c r="O99" s="6" t="str">
        <f t="shared" si="5"/>
        <v>Low</v>
      </c>
      <c r="P99" s="16">
        <f>IF(ISBLANK(K99),AVERAGEIF(Table4[Category],I99,Table4[Sales]),K99)</f>
        <v>3155.5439999999999</v>
      </c>
      <c r="Q99" s="16">
        <f>IF(ISBLANK(N99),AVERAGEIF(Table4[Order Priority],O99,Table4[Profit]),N99)</f>
        <v>34.944000000000003</v>
      </c>
    </row>
    <row r="100" spans="1:17" ht="31.25" customHeight="1" x14ac:dyDescent="0.45">
      <c r="A100" s="5" t="s">
        <v>333</v>
      </c>
      <c r="B100" s="5" t="str">
        <f t="shared" si="4"/>
        <v>41846</v>
      </c>
      <c r="C100" s="1" t="s">
        <v>334</v>
      </c>
      <c r="D100" s="2">
        <v>41647</v>
      </c>
      <c r="E100" s="1" t="s">
        <v>335</v>
      </c>
      <c r="F100" s="1" t="s">
        <v>556</v>
      </c>
      <c r="G100" s="1" t="s">
        <v>147</v>
      </c>
      <c r="H100" s="1" t="s">
        <v>148</v>
      </c>
      <c r="I100" s="1" t="s">
        <v>19</v>
      </c>
      <c r="J100" s="1" t="s">
        <v>142</v>
      </c>
      <c r="K100" s="1">
        <v>3856.14</v>
      </c>
      <c r="L100" s="1">
        <v>6</v>
      </c>
      <c r="M100" s="1">
        <v>0</v>
      </c>
      <c r="N100" s="1"/>
      <c r="O100" s="6" t="str">
        <f t="shared" si="5"/>
        <v>Critical</v>
      </c>
      <c r="P100" s="15">
        <f>IF(ISBLANK(K100),AVERAGEIF(Table4[Category],I100,Table4[Sales]),K100)</f>
        <v>3856.14</v>
      </c>
      <c r="Q100" s="15">
        <f>IF(ISBLANK(N100),AVERAGEIF(Table4[Order Priority],O100,Table4[Profit]),N100)</f>
        <v>-390.4273300000001</v>
      </c>
    </row>
    <row r="101" spans="1:17" ht="31.25" customHeight="1" x14ac:dyDescent="0.45">
      <c r="A101" s="5" t="s">
        <v>336</v>
      </c>
      <c r="B101" s="5" t="str">
        <f t="shared" si="4"/>
        <v>42327</v>
      </c>
      <c r="C101" s="1" t="s">
        <v>285</v>
      </c>
      <c r="D101" s="1" t="s">
        <v>337</v>
      </c>
      <c r="E101" s="1" t="s">
        <v>338</v>
      </c>
      <c r="F101" s="1" t="s">
        <v>536</v>
      </c>
      <c r="G101" s="1" t="s">
        <v>17</v>
      </c>
      <c r="H101" s="1" t="s">
        <v>18</v>
      </c>
      <c r="I101" s="1" t="s">
        <v>19</v>
      </c>
      <c r="J101" s="1" t="s">
        <v>77</v>
      </c>
      <c r="K101" s="1">
        <v>3524.4720000000002</v>
      </c>
      <c r="L101" s="1">
        <v>6</v>
      </c>
      <c r="M101" s="1">
        <v>0.1</v>
      </c>
      <c r="N101" s="1">
        <v>861.37199999999996</v>
      </c>
      <c r="O101" s="6" t="str">
        <f t="shared" si="5"/>
        <v>Medium</v>
      </c>
      <c r="P101" s="15">
        <f>IF(ISBLANK(K101),AVERAGEIF(Table4[Category],I101,Table4[Sales]),K101)</f>
        <v>3524.4720000000002</v>
      </c>
      <c r="Q101" s="15">
        <f>IF(ISBLANK(N101),AVERAGEIF(Table4[Order Priority],O101,Table4[Profit]),N101)</f>
        <v>861.37199999999996</v>
      </c>
    </row>
    <row r="102" spans="1:17" ht="31.25" customHeight="1" x14ac:dyDescent="0.45">
      <c r="A102" s="5" t="s">
        <v>391</v>
      </c>
      <c r="B102" s="5" t="str">
        <f t="shared" si="4"/>
        <v>41884</v>
      </c>
      <c r="C102" s="1" t="s">
        <v>339</v>
      </c>
      <c r="D102" s="1" t="s">
        <v>339</v>
      </c>
      <c r="E102" s="1" t="s">
        <v>340</v>
      </c>
      <c r="F102" s="1" t="s">
        <v>557</v>
      </c>
      <c r="G102" s="1" t="s">
        <v>72</v>
      </c>
      <c r="H102" s="1" t="s">
        <v>73</v>
      </c>
      <c r="I102" s="1" t="s">
        <v>19</v>
      </c>
      <c r="J102" s="1" t="s">
        <v>29</v>
      </c>
      <c r="K102" s="1">
        <v>2167.2959999999998</v>
      </c>
      <c r="L102" s="1">
        <v>4</v>
      </c>
      <c r="M102" s="1">
        <v>0</v>
      </c>
      <c r="N102" s="1">
        <v>790.41600000000005</v>
      </c>
      <c r="O102" s="6" t="str">
        <f t="shared" si="5"/>
        <v>Medium</v>
      </c>
      <c r="P102" s="16">
        <f>IF(ISBLANK(K102),AVERAGEIF(Table4[Category],I102,Table4[Sales]),K102)</f>
        <v>2167.2959999999998</v>
      </c>
      <c r="Q102" s="16">
        <f>IF(ISBLANK(N102),AVERAGEIF(Table4[Order Priority],O102,Table4[Profit]),N102)</f>
        <v>790.41600000000005</v>
      </c>
    </row>
    <row r="103" spans="1:17" ht="31.25" customHeight="1" x14ac:dyDescent="0.45">
      <c r="A103" s="5" t="s">
        <v>341</v>
      </c>
      <c r="B103" s="5" t="str">
        <f t="shared" si="4"/>
        <v>41558</v>
      </c>
      <c r="C103" s="2">
        <v>41588</v>
      </c>
      <c r="D103" s="1" t="s">
        <v>342</v>
      </c>
      <c r="E103" s="1" t="s">
        <v>343</v>
      </c>
      <c r="F103" s="1" t="s">
        <v>558</v>
      </c>
      <c r="G103" s="1" t="s">
        <v>103</v>
      </c>
      <c r="H103" s="1" t="s">
        <v>104</v>
      </c>
      <c r="I103" s="1" t="s">
        <v>19</v>
      </c>
      <c r="J103" s="1" t="s">
        <v>29</v>
      </c>
      <c r="K103" s="1"/>
      <c r="L103" s="1">
        <v>6</v>
      </c>
      <c r="M103" s="1">
        <v>0</v>
      </c>
      <c r="N103" s="1">
        <v>178.92</v>
      </c>
      <c r="O103" s="6" t="str">
        <f t="shared" si="5"/>
        <v>Low</v>
      </c>
      <c r="P103" s="15">
        <f>IF(ISBLANK(K103),AVERAGEIF(Table4[Category],I103,Table4[Sales]),K103)</f>
        <v>2460.5932578461534</v>
      </c>
      <c r="Q103" s="15">
        <f>IF(ISBLANK(N103),AVERAGEIF(Table4[Order Priority],O103,Table4[Profit]),N103)</f>
        <v>178.92</v>
      </c>
    </row>
    <row r="104" spans="1:17" ht="31.25" customHeight="1" x14ac:dyDescent="0.45">
      <c r="A104" s="5" t="s">
        <v>391</v>
      </c>
      <c r="B104" s="5" t="str">
        <f t="shared" si="4"/>
        <v>41884</v>
      </c>
      <c r="C104" s="2">
        <v>41129</v>
      </c>
      <c r="D104" s="2">
        <v>41190</v>
      </c>
      <c r="E104" s="1" t="s">
        <v>344</v>
      </c>
      <c r="F104" s="1" t="s">
        <v>559</v>
      </c>
      <c r="G104" s="1" t="s">
        <v>25</v>
      </c>
      <c r="H104" s="1" t="s">
        <v>73</v>
      </c>
      <c r="I104" s="1" t="s">
        <v>19</v>
      </c>
      <c r="J104" s="1" t="s">
        <v>29</v>
      </c>
      <c r="K104" s="1">
        <v>1469.25</v>
      </c>
      <c r="L104" s="1">
        <v>5</v>
      </c>
      <c r="M104" s="1">
        <v>0</v>
      </c>
      <c r="N104" s="1">
        <v>308.39999999999998</v>
      </c>
      <c r="O104" s="6" t="str">
        <f t="shared" si="5"/>
        <v>Low</v>
      </c>
      <c r="P104" s="15">
        <f>IF(ISBLANK(K104),AVERAGEIF(Table4[Category],I104,Table4[Sales]),K104)</f>
        <v>1469.25</v>
      </c>
      <c r="Q104" s="15">
        <f>IF(ISBLANK(N104),AVERAGEIF(Table4[Order Priority],O104,Table4[Profit]),N104)</f>
        <v>308.39999999999998</v>
      </c>
    </row>
    <row r="105" spans="1:17" ht="31.25" customHeight="1" x14ac:dyDescent="0.45">
      <c r="A105" s="5" t="s">
        <v>391</v>
      </c>
      <c r="B105" s="5" t="str">
        <f t="shared" si="4"/>
        <v>41884</v>
      </c>
      <c r="C105" s="2">
        <v>41010</v>
      </c>
      <c r="D105" s="2">
        <v>41132</v>
      </c>
      <c r="E105" s="4" t="s">
        <v>345</v>
      </c>
      <c r="F105" s="1" t="s">
        <v>560</v>
      </c>
      <c r="G105" s="1" t="s">
        <v>42</v>
      </c>
      <c r="H105" s="1" t="s">
        <v>73</v>
      </c>
      <c r="I105" s="1" t="s">
        <v>19</v>
      </c>
      <c r="J105" s="1" t="s">
        <v>29</v>
      </c>
      <c r="K105" s="1">
        <v>4448.8320000000003</v>
      </c>
      <c r="L105" s="1">
        <v>8</v>
      </c>
      <c r="M105" s="1">
        <v>0.15</v>
      </c>
      <c r="N105" s="1">
        <v>1517.712</v>
      </c>
      <c r="O105" s="6" t="str">
        <f t="shared" si="5"/>
        <v>High</v>
      </c>
      <c r="P105" s="16">
        <f>IF(ISBLANK(K105),AVERAGEIF(Table4[Category],I105,Table4[Sales]),K105)</f>
        <v>4448.8320000000003</v>
      </c>
      <c r="Q105" s="16">
        <f>IF(ISBLANK(N105),AVERAGEIF(Table4[Order Priority],O105,Table4[Profit]),N105)</f>
        <v>1517.712</v>
      </c>
    </row>
    <row r="106" spans="1:17" ht="31.25" customHeight="1" x14ac:dyDescent="0.45">
      <c r="A106" s="5" t="s">
        <v>346</v>
      </c>
      <c r="B106" s="5" t="str">
        <f t="shared" si="4"/>
        <v>41116</v>
      </c>
      <c r="C106" s="1" t="s">
        <v>347</v>
      </c>
      <c r="D106" s="2">
        <v>40916</v>
      </c>
      <c r="E106" s="1" t="s">
        <v>240</v>
      </c>
      <c r="F106" s="1" t="s">
        <v>532</v>
      </c>
      <c r="G106" s="1" t="s">
        <v>42</v>
      </c>
      <c r="H106" s="1" t="s">
        <v>122</v>
      </c>
      <c r="I106" s="1" t="s">
        <v>47</v>
      </c>
      <c r="J106" s="1" t="s">
        <v>36</v>
      </c>
      <c r="K106" s="1">
        <v>65.78</v>
      </c>
      <c r="L106" s="1">
        <v>11</v>
      </c>
      <c r="M106" s="1">
        <v>0</v>
      </c>
      <c r="N106" s="1">
        <v>32.232199999999999</v>
      </c>
      <c r="O106" s="6" t="str">
        <f t="shared" si="5"/>
        <v>Low</v>
      </c>
      <c r="P106" s="15">
        <f>IF(ISBLANK(K106),AVERAGEIF(Table4[Category],I106,Table4[Sales]),K106)</f>
        <v>65.78</v>
      </c>
      <c r="Q106" s="15">
        <f>IF(ISBLANK(N106),AVERAGEIF(Table4[Order Priority],O106,Table4[Profit]),N106)</f>
        <v>32.232199999999999</v>
      </c>
    </row>
    <row r="107" spans="1:17" ht="31.25" customHeight="1" x14ac:dyDescent="0.45">
      <c r="A107" s="5" t="s">
        <v>348</v>
      </c>
      <c r="B107" s="5" t="str">
        <f t="shared" si="4"/>
        <v>41755</v>
      </c>
      <c r="C107" s="1" t="s">
        <v>349</v>
      </c>
      <c r="D107" s="1" t="s">
        <v>350</v>
      </c>
      <c r="E107" s="1" t="s">
        <v>351</v>
      </c>
      <c r="F107" s="1" t="s">
        <v>561</v>
      </c>
      <c r="G107" s="1" t="s">
        <v>352</v>
      </c>
      <c r="H107" s="1" t="s">
        <v>64</v>
      </c>
      <c r="I107" s="1" t="s">
        <v>35</v>
      </c>
      <c r="J107" s="1" t="s">
        <v>29</v>
      </c>
      <c r="K107" s="1"/>
      <c r="L107" s="1">
        <v>9</v>
      </c>
      <c r="M107" s="1">
        <v>0</v>
      </c>
      <c r="N107" s="1">
        <v>914.76</v>
      </c>
      <c r="O107" s="6" t="str">
        <f t="shared" si="5"/>
        <v>Medium</v>
      </c>
      <c r="P107" s="15">
        <f>IF(ISBLANK(K107),AVERAGEIF(Table4[Category],I107,Table4[Sales]),K107)</f>
        <v>2398.8796666666672</v>
      </c>
      <c r="Q107" s="15">
        <f>IF(ISBLANK(N107),AVERAGEIF(Table4[Order Priority],O107,Table4[Profit]),N107)</f>
        <v>914.76</v>
      </c>
    </row>
    <row r="108" spans="1:17" ht="31.25" customHeight="1" x14ac:dyDescent="0.45">
      <c r="A108" s="5" t="s">
        <v>353</v>
      </c>
      <c r="B108" s="5" t="str">
        <f t="shared" si="4"/>
        <v>41999</v>
      </c>
      <c r="C108" s="1" t="s">
        <v>354</v>
      </c>
      <c r="D108" s="1" t="s">
        <v>354</v>
      </c>
      <c r="E108" s="1" t="s">
        <v>355</v>
      </c>
      <c r="F108" s="1" t="s">
        <v>562</v>
      </c>
      <c r="G108" s="1" t="s">
        <v>17</v>
      </c>
      <c r="H108" s="1" t="s">
        <v>18</v>
      </c>
      <c r="I108" s="1" t="s">
        <v>47</v>
      </c>
      <c r="J108" s="1" t="s">
        <v>46</v>
      </c>
      <c r="K108" s="1">
        <v>3739.1759999999999</v>
      </c>
      <c r="L108" s="1">
        <v>8</v>
      </c>
      <c r="M108" s="1">
        <v>0.1</v>
      </c>
      <c r="N108" s="1">
        <v>747.81600000000003</v>
      </c>
      <c r="O108" s="6" t="str">
        <f t="shared" si="5"/>
        <v>Medium</v>
      </c>
      <c r="P108" s="16">
        <f>IF(ISBLANK(K108),AVERAGEIF(Table4[Category],I108,Table4[Sales]),K108)</f>
        <v>3739.1759999999999</v>
      </c>
      <c r="Q108" s="16">
        <f>IF(ISBLANK(N108),AVERAGEIF(Table4[Order Priority],O108,Table4[Profit]),N108)</f>
        <v>747.81600000000003</v>
      </c>
    </row>
    <row r="109" spans="1:17" ht="31.25" customHeight="1" x14ac:dyDescent="0.45">
      <c r="A109" s="5" t="s">
        <v>356</v>
      </c>
      <c r="B109" s="5" t="str">
        <f t="shared" si="4"/>
        <v>41711</v>
      </c>
      <c r="C109" s="1" t="s">
        <v>357</v>
      </c>
      <c r="D109" s="1" t="s">
        <v>357</v>
      </c>
      <c r="E109" s="1" t="s">
        <v>358</v>
      </c>
      <c r="F109" s="1" t="s">
        <v>490</v>
      </c>
      <c r="G109" s="1" t="s">
        <v>359</v>
      </c>
      <c r="H109" s="1" t="s">
        <v>73</v>
      </c>
      <c r="I109" s="1" t="s">
        <v>35</v>
      </c>
      <c r="J109" s="1" t="s">
        <v>180</v>
      </c>
      <c r="K109" s="1">
        <v>2570.8649999999998</v>
      </c>
      <c r="L109" s="1">
        <v>11</v>
      </c>
      <c r="M109" s="1">
        <v>0.5</v>
      </c>
      <c r="N109" s="1">
        <v>-2211.165</v>
      </c>
      <c r="O109" s="6" t="str">
        <f t="shared" si="5"/>
        <v>Critical</v>
      </c>
      <c r="P109" s="15">
        <f>IF(ISBLANK(K109),AVERAGEIF(Table4[Category],I109,Table4[Sales]),K109)</f>
        <v>2570.8649999999998</v>
      </c>
      <c r="Q109" s="15">
        <f>IF(ISBLANK(N109),AVERAGEIF(Table4[Order Priority],O109,Table4[Profit]),N109)</f>
        <v>-2211.165</v>
      </c>
    </row>
    <row r="110" spans="1:17" ht="31.25" customHeight="1" x14ac:dyDescent="0.45">
      <c r="A110" s="5" t="s">
        <v>360</v>
      </c>
      <c r="B110" s="5" t="str">
        <f t="shared" si="4"/>
        <v>41727</v>
      </c>
      <c r="C110" s="1" t="s">
        <v>262</v>
      </c>
      <c r="D110" s="2">
        <v>41643</v>
      </c>
      <c r="E110" s="1" t="s">
        <v>240</v>
      </c>
      <c r="F110" s="1" t="s">
        <v>532</v>
      </c>
      <c r="G110" s="1" t="s">
        <v>42</v>
      </c>
      <c r="H110" s="1" t="s">
        <v>184</v>
      </c>
      <c r="I110" s="1" t="s">
        <v>47</v>
      </c>
      <c r="J110" s="1" t="s">
        <v>77</v>
      </c>
      <c r="K110" s="1">
        <v>31.4</v>
      </c>
      <c r="L110" s="1">
        <v>2</v>
      </c>
      <c r="M110" s="1">
        <v>0</v>
      </c>
      <c r="N110" s="1"/>
      <c r="O110" s="6" t="str">
        <f t="shared" si="5"/>
        <v>Critical</v>
      </c>
      <c r="P110" s="15">
        <f>IF(ISBLANK(K110),AVERAGEIF(Table4[Category],I110,Table4[Sales]),K110)</f>
        <v>31.4</v>
      </c>
      <c r="Q110" s="15">
        <f>IF(ISBLANK(N110),AVERAGEIF(Table4[Order Priority],O110,Table4[Profit]),N110)</f>
        <v>-390.4273300000001</v>
      </c>
    </row>
    <row r="111" spans="1:17" ht="31.25" customHeight="1" x14ac:dyDescent="0.45">
      <c r="A111" s="5" t="s">
        <v>361</v>
      </c>
      <c r="B111" s="5" t="str">
        <f t="shared" si="4"/>
        <v>41369</v>
      </c>
      <c r="C111" s="2">
        <v>41398</v>
      </c>
      <c r="D111" s="2">
        <v>41398</v>
      </c>
      <c r="E111" s="1" t="s">
        <v>362</v>
      </c>
      <c r="F111" s="1" t="s">
        <v>559</v>
      </c>
      <c r="G111" s="1" t="s">
        <v>25</v>
      </c>
      <c r="H111" s="1" t="s">
        <v>73</v>
      </c>
      <c r="I111" s="1" t="s">
        <v>19</v>
      </c>
      <c r="J111" s="1" t="s">
        <v>26</v>
      </c>
      <c r="K111" s="1">
        <v>2875.77</v>
      </c>
      <c r="L111" s="1">
        <v>9</v>
      </c>
      <c r="M111" s="1">
        <v>0.5</v>
      </c>
      <c r="N111" s="1">
        <v>-1783.08</v>
      </c>
      <c r="O111" s="6" t="str">
        <f t="shared" si="5"/>
        <v>Critical</v>
      </c>
      <c r="P111" s="16">
        <f>IF(ISBLANK(K111),AVERAGEIF(Table4[Category],I111,Table4[Sales]),K111)</f>
        <v>2875.77</v>
      </c>
      <c r="Q111" s="16">
        <f>IF(ISBLANK(N111),AVERAGEIF(Table4[Order Priority],O111,Table4[Profit]),N111)</f>
        <v>-1783.08</v>
      </c>
    </row>
    <row r="112" spans="1:17" ht="31.25" customHeight="1" x14ac:dyDescent="0.45">
      <c r="A112" s="5" t="s">
        <v>363</v>
      </c>
      <c r="B112" s="5" t="str">
        <f t="shared" si="4"/>
        <v>41634</v>
      </c>
      <c r="C112" s="1" t="s">
        <v>364</v>
      </c>
      <c r="D112" s="1" t="s">
        <v>365</v>
      </c>
      <c r="E112" s="1" t="s">
        <v>366</v>
      </c>
      <c r="F112" s="1" t="s">
        <v>488</v>
      </c>
      <c r="G112" s="1" t="s">
        <v>243</v>
      </c>
      <c r="H112" s="1" t="s">
        <v>81</v>
      </c>
      <c r="I112" s="1" t="s">
        <v>35</v>
      </c>
      <c r="J112" s="1" t="s">
        <v>142</v>
      </c>
      <c r="K112" s="1">
        <v>1741.8</v>
      </c>
      <c r="L112" s="1">
        <v>5</v>
      </c>
      <c r="M112" s="1">
        <v>0</v>
      </c>
      <c r="N112" s="1">
        <v>261.24</v>
      </c>
      <c r="O112" s="6" t="str">
        <f t="shared" si="5"/>
        <v>Low</v>
      </c>
      <c r="P112" s="15">
        <f>IF(ISBLANK(K112),AVERAGEIF(Table4[Category],I112,Table4[Sales]),K112)</f>
        <v>1741.8</v>
      </c>
      <c r="Q112" s="15">
        <f>IF(ISBLANK(N112),AVERAGEIF(Table4[Order Priority],O112,Table4[Profit]),N112)</f>
        <v>261.24</v>
      </c>
    </row>
    <row r="113" spans="1:17" ht="31.25" customHeight="1" x14ac:dyDescent="0.45">
      <c r="A113" s="5" t="s">
        <v>367</v>
      </c>
      <c r="B113" s="5" t="str">
        <f t="shared" si="4"/>
        <v>41747</v>
      </c>
      <c r="C113" s="1" t="s">
        <v>368</v>
      </c>
      <c r="D113" s="1" t="s">
        <v>369</v>
      </c>
      <c r="E113" s="1" t="s">
        <v>370</v>
      </c>
      <c r="F113" s="1" t="s">
        <v>563</v>
      </c>
      <c r="G113" s="1" t="s">
        <v>17</v>
      </c>
      <c r="H113" s="1" t="s">
        <v>18</v>
      </c>
      <c r="I113" s="1" t="s">
        <v>19</v>
      </c>
      <c r="J113" s="1" t="s">
        <v>29</v>
      </c>
      <c r="K113" s="1">
        <v>1601.64</v>
      </c>
      <c r="L113" s="1">
        <v>5</v>
      </c>
      <c r="M113" s="1">
        <v>0.1</v>
      </c>
      <c r="N113" s="1">
        <v>587.19000000000005</v>
      </c>
      <c r="O113" s="6" t="str">
        <f t="shared" si="5"/>
        <v>Medium</v>
      </c>
      <c r="P113" s="15">
        <f>IF(ISBLANK(K113),AVERAGEIF(Table4[Category],I113,Table4[Sales]),K113)</f>
        <v>1601.64</v>
      </c>
      <c r="Q113" s="15">
        <f>IF(ISBLANK(N113),AVERAGEIF(Table4[Order Priority],O113,Table4[Profit]),N113)</f>
        <v>587.19000000000005</v>
      </c>
    </row>
    <row r="114" spans="1:17" ht="31.25" customHeight="1" x14ac:dyDescent="0.45">
      <c r="A114" s="5" t="s">
        <v>371</v>
      </c>
      <c r="B114" s="5" t="str">
        <f t="shared" si="4"/>
        <v>41052</v>
      </c>
      <c r="C114" s="1" t="s">
        <v>372</v>
      </c>
      <c r="D114" s="1" t="s">
        <v>373</v>
      </c>
      <c r="E114" s="1" t="s">
        <v>374</v>
      </c>
      <c r="F114" s="1" t="s">
        <v>564</v>
      </c>
      <c r="G114" s="1" t="s">
        <v>67</v>
      </c>
      <c r="H114" s="1" t="s">
        <v>95</v>
      </c>
      <c r="I114" s="1" t="s">
        <v>47</v>
      </c>
      <c r="J114" s="1" t="s">
        <v>180</v>
      </c>
      <c r="K114" s="1">
        <v>3670.8</v>
      </c>
      <c r="L114" s="1">
        <v>7</v>
      </c>
      <c r="M114" s="1">
        <v>0</v>
      </c>
      <c r="N114" s="1">
        <v>367.08</v>
      </c>
      <c r="O114" s="6" t="str">
        <f t="shared" si="5"/>
        <v>Low</v>
      </c>
      <c r="P114" s="16">
        <f>IF(ISBLANK(K114),AVERAGEIF(Table4[Category],I114,Table4[Sales]),K114)</f>
        <v>3670.8</v>
      </c>
      <c r="Q114" s="16">
        <f>IF(ISBLANK(N114),AVERAGEIF(Table4[Order Priority],O114,Table4[Profit]),N114)</f>
        <v>367.08</v>
      </c>
    </row>
    <row r="115" spans="1:17" ht="31.25" customHeight="1" x14ac:dyDescent="0.45">
      <c r="A115" s="5" t="s">
        <v>375</v>
      </c>
      <c r="B115" s="5" t="str">
        <f t="shared" si="4"/>
        <v>42218</v>
      </c>
      <c r="C115" s="2">
        <v>42043</v>
      </c>
      <c r="D115" s="2">
        <v>42224</v>
      </c>
      <c r="E115" s="1" t="s">
        <v>240</v>
      </c>
      <c r="F115" s="1" t="s">
        <v>532</v>
      </c>
      <c r="G115" s="1" t="s">
        <v>42</v>
      </c>
      <c r="H115" s="4" t="s">
        <v>43</v>
      </c>
      <c r="I115" s="1" t="s">
        <v>19</v>
      </c>
      <c r="J115" s="1" t="s">
        <v>36</v>
      </c>
      <c r="K115" s="1">
        <v>36.287999999999997</v>
      </c>
      <c r="L115" s="1">
        <v>7</v>
      </c>
      <c r="M115" s="1">
        <v>0.2</v>
      </c>
      <c r="N115" s="1">
        <v>12.700799999999999</v>
      </c>
      <c r="O115" s="6" t="str">
        <f t="shared" si="5"/>
        <v>Low</v>
      </c>
      <c r="P115" s="15">
        <f>IF(ISBLANK(K115),AVERAGEIF(Table4[Category],I115,Table4[Sales]),K115)</f>
        <v>36.287999999999997</v>
      </c>
      <c r="Q115" s="15">
        <f>IF(ISBLANK(N115),AVERAGEIF(Table4[Order Priority],O115,Table4[Profit]),N115)</f>
        <v>12.700799999999999</v>
      </c>
    </row>
    <row r="116" spans="1:17" ht="31.25" customHeight="1" x14ac:dyDescent="0.45">
      <c r="A116" s="5" t="s">
        <v>391</v>
      </c>
      <c r="B116" s="5" t="str">
        <f t="shared" si="4"/>
        <v>41884</v>
      </c>
      <c r="C116" s="1" t="s">
        <v>376</v>
      </c>
      <c r="D116" s="1" t="s">
        <v>377</v>
      </c>
      <c r="E116" s="1" t="s">
        <v>378</v>
      </c>
      <c r="F116" s="1" t="s">
        <v>565</v>
      </c>
      <c r="G116" s="1" t="s">
        <v>25</v>
      </c>
      <c r="H116" s="1" t="s">
        <v>379</v>
      </c>
      <c r="I116" s="1" t="s">
        <v>19</v>
      </c>
      <c r="J116" s="1" t="s">
        <v>77</v>
      </c>
      <c r="K116" s="1">
        <v>1900.95</v>
      </c>
      <c r="L116" s="1">
        <v>5</v>
      </c>
      <c r="M116" s="1">
        <v>0</v>
      </c>
      <c r="N116" s="1">
        <v>589.20000000000005</v>
      </c>
      <c r="O116" s="6" t="str">
        <f t="shared" si="5"/>
        <v>Medium</v>
      </c>
      <c r="P116" s="15">
        <f>IF(ISBLANK(K116),AVERAGEIF(Table4[Category],I116,Table4[Sales]),K116)</f>
        <v>1900.95</v>
      </c>
      <c r="Q116" s="15">
        <f>IF(ISBLANK(N116),AVERAGEIF(Table4[Order Priority],O116,Table4[Profit]),N116)</f>
        <v>589.20000000000005</v>
      </c>
    </row>
    <row r="117" spans="1:17" ht="31.25" customHeight="1" x14ac:dyDescent="0.45">
      <c r="A117" s="5" t="s">
        <v>239</v>
      </c>
      <c r="B117" s="5" t="str">
        <f t="shared" si="4"/>
        <v>42007</v>
      </c>
      <c r="C117" s="2">
        <v>42064</v>
      </c>
      <c r="D117" s="2">
        <v>42125</v>
      </c>
      <c r="E117" s="1" t="s">
        <v>240</v>
      </c>
      <c r="F117" s="1" t="s">
        <v>532</v>
      </c>
      <c r="G117" s="1" t="s">
        <v>42</v>
      </c>
      <c r="H117" s="1" t="s">
        <v>184</v>
      </c>
      <c r="I117" s="1" t="s">
        <v>47</v>
      </c>
      <c r="J117" s="1" t="s">
        <v>142</v>
      </c>
      <c r="K117" s="1">
        <v>15.66</v>
      </c>
      <c r="L117" s="1">
        <v>5</v>
      </c>
      <c r="M117" s="1">
        <v>0.7</v>
      </c>
      <c r="N117" s="1">
        <v>-12.528</v>
      </c>
      <c r="O117" s="6" t="str">
        <f t="shared" si="5"/>
        <v>Critical</v>
      </c>
      <c r="P117" s="16">
        <f>IF(ISBLANK(K117),AVERAGEIF(Table4[Category],I117,Table4[Sales]),K117)</f>
        <v>15.66</v>
      </c>
      <c r="Q117" s="16">
        <f>IF(ISBLANK(N117),AVERAGEIF(Table4[Order Priority],O117,Table4[Profit]),N117)</f>
        <v>-12.528</v>
      </c>
    </row>
    <row r="118" spans="1:17" ht="31.25" customHeight="1" x14ac:dyDescent="0.45">
      <c r="A118" s="5" t="s">
        <v>380</v>
      </c>
      <c r="B118" s="5" t="str">
        <f t="shared" si="4"/>
        <v>40955</v>
      </c>
      <c r="C118" s="1" t="s">
        <v>381</v>
      </c>
      <c r="D118" s="1" t="s">
        <v>75</v>
      </c>
      <c r="E118" s="1" t="s">
        <v>382</v>
      </c>
      <c r="F118" s="1" t="s">
        <v>566</v>
      </c>
      <c r="G118" s="1" t="s">
        <v>72</v>
      </c>
      <c r="H118" s="1" t="s">
        <v>73</v>
      </c>
      <c r="I118" s="1" t="s">
        <v>35</v>
      </c>
      <c r="J118" s="1" t="s">
        <v>36</v>
      </c>
      <c r="K118" s="1">
        <v>4544.1000000000004</v>
      </c>
      <c r="L118" s="1">
        <v>11</v>
      </c>
      <c r="M118" s="1">
        <v>0.1</v>
      </c>
      <c r="N118" s="1">
        <v>1868.13</v>
      </c>
      <c r="O118" s="6" t="str">
        <f t="shared" si="5"/>
        <v>High</v>
      </c>
      <c r="P118" s="15">
        <f>IF(ISBLANK(K118),AVERAGEIF(Table4[Category],I118,Table4[Sales]),K118)</f>
        <v>4544.1000000000004</v>
      </c>
      <c r="Q118" s="15">
        <f>IF(ISBLANK(N118),AVERAGEIF(Table4[Order Priority],O118,Table4[Profit]),N118)</f>
        <v>1868.13</v>
      </c>
    </row>
    <row r="119" spans="1:17" ht="31.25" customHeight="1" x14ac:dyDescent="0.45">
      <c r="A119" s="5" t="s">
        <v>383</v>
      </c>
      <c r="B119" s="5" t="str">
        <f t="shared" si="4"/>
        <v>41790</v>
      </c>
      <c r="C119" s="1" t="s">
        <v>384</v>
      </c>
      <c r="D119" s="2">
        <v>41676</v>
      </c>
      <c r="E119" s="1" t="s">
        <v>385</v>
      </c>
      <c r="F119" s="1" t="s">
        <v>567</v>
      </c>
      <c r="G119" s="1" t="s">
        <v>67</v>
      </c>
      <c r="H119" s="1" t="s">
        <v>95</v>
      </c>
      <c r="I119" s="1" t="s">
        <v>35</v>
      </c>
      <c r="J119" s="1" t="s">
        <v>386</v>
      </c>
      <c r="K119" s="1">
        <v>1455.12</v>
      </c>
      <c r="L119" s="1">
        <v>4</v>
      </c>
      <c r="M119" s="1">
        <v>0</v>
      </c>
      <c r="N119" s="1">
        <v>116.4</v>
      </c>
      <c r="O119" s="6" t="str">
        <f t="shared" si="5"/>
        <v>Low</v>
      </c>
      <c r="P119" s="15">
        <f>IF(ISBLANK(K119),AVERAGEIF(Table4[Category],I119,Table4[Sales]),K119)</f>
        <v>1455.12</v>
      </c>
      <c r="Q119" s="15">
        <f>IF(ISBLANK(N119),AVERAGEIF(Table4[Order Priority],O119,Table4[Profit]),N119)</f>
        <v>116.4</v>
      </c>
    </row>
    <row r="120" spans="1:17" ht="31.25" customHeight="1" x14ac:dyDescent="0.45">
      <c r="A120" s="5" t="s">
        <v>387</v>
      </c>
      <c r="B120" s="5" t="str">
        <f t="shared" si="4"/>
        <v>41913</v>
      </c>
      <c r="C120" s="2">
        <v>41649</v>
      </c>
      <c r="D120" s="2">
        <v>41680</v>
      </c>
      <c r="E120" s="1" t="s">
        <v>388</v>
      </c>
      <c r="F120" s="1" t="s">
        <v>568</v>
      </c>
      <c r="G120" s="1" t="s">
        <v>17</v>
      </c>
      <c r="H120" s="1" t="s">
        <v>18</v>
      </c>
      <c r="I120" s="1" t="s">
        <v>19</v>
      </c>
      <c r="J120" s="1" t="s">
        <v>26</v>
      </c>
      <c r="K120" s="1">
        <v>1943.19</v>
      </c>
      <c r="L120" s="1">
        <v>6</v>
      </c>
      <c r="M120" s="1">
        <v>0.1</v>
      </c>
      <c r="N120" s="1">
        <v>258.93</v>
      </c>
      <c r="O120" s="6" t="str">
        <f t="shared" si="5"/>
        <v>Low</v>
      </c>
      <c r="P120" s="16">
        <f>IF(ISBLANK(K120),AVERAGEIF(Table4[Category],I120,Table4[Sales]),K120)</f>
        <v>1943.19</v>
      </c>
      <c r="Q120" s="16">
        <f>IF(ISBLANK(N120),AVERAGEIF(Table4[Order Priority],O120,Table4[Profit]),N120)</f>
        <v>258.93</v>
      </c>
    </row>
    <row r="121" spans="1:17" ht="31.25" customHeight="1" x14ac:dyDescent="0.45">
      <c r="A121" s="5" t="s">
        <v>389</v>
      </c>
      <c r="B121" s="5" t="str">
        <f t="shared" si="4"/>
        <v>42315</v>
      </c>
      <c r="C121" s="2">
        <v>42196</v>
      </c>
      <c r="D121" s="1" t="s">
        <v>390</v>
      </c>
      <c r="E121" s="1" t="s">
        <v>351</v>
      </c>
      <c r="F121" s="1" t="s">
        <v>561</v>
      </c>
      <c r="G121" s="1" t="s">
        <v>42</v>
      </c>
      <c r="H121" s="1" t="s">
        <v>45</v>
      </c>
      <c r="I121" s="1" t="s">
        <v>35</v>
      </c>
      <c r="J121" s="1" t="s">
        <v>180</v>
      </c>
      <c r="K121" s="1">
        <v>2036.86</v>
      </c>
      <c r="L121" s="1">
        <v>7</v>
      </c>
      <c r="M121" s="1">
        <v>0</v>
      </c>
      <c r="N121" s="1">
        <v>366.63479999999998</v>
      </c>
      <c r="O121" s="6" t="str">
        <f t="shared" si="5"/>
        <v>Low</v>
      </c>
      <c r="P121" s="15">
        <f>IF(ISBLANK(K121),AVERAGEIF(Table4[Category],I121,Table4[Sales]),K121)</f>
        <v>2036.86</v>
      </c>
      <c r="Q121" s="15">
        <f>IF(ISBLANK(N121),AVERAGEIF(Table4[Order Priority],O121,Table4[Profit]),N121)</f>
        <v>366.63479999999998</v>
      </c>
    </row>
    <row r="122" spans="1:17" ht="31.25" customHeight="1" x14ac:dyDescent="0.45">
      <c r="A122" s="5" t="s">
        <v>391</v>
      </c>
      <c r="B122" s="5" t="str">
        <f t="shared" si="4"/>
        <v>41884</v>
      </c>
      <c r="C122" s="2">
        <v>41679</v>
      </c>
      <c r="D122" s="2">
        <v>41738</v>
      </c>
      <c r="E122" s="1" t="s">
        <v>351</v>
      </c>
      <c r="F122" s="1" t="s">
        <v>561</v>
      </c>
      <c r="G122" s="1" t="s">
        <v>42</v>
      </c>
      <c r="H122" s="1" t="s">
        <v>215</v>
      </c>
      <c r="I122" s="1" t="s">
        <v>47</v>
      </c>
      <c r="J122" s="1" t="s">
        <v>36</v>
      </c>
      <c r="K122" s="1"/>
      <c r="L122" s="1">
        <v>4</v>
      </c>
      <c r="M122" s="1">
        <v>0.2</v>
      </c>
      <c r="N122" s="1">
        <v>1415.4295999999999</v>
      </c>
      <c r="O122" s="6" t="str">
        <f t="shared" si="5"/>
        <v>High</v>
      </c>
      <c r="P122" s="15">
        <f>IF(ISBLANK(K122),AVERAGEIF(Table4[Category],I122,Table4[Sales]),K122)</f>
        <v>1621.4477189189192</v>
      </c>
      <c r="Q122" s="15">
        <f>IF(ISBLANK(N122),AVERAGEIF(Table4[Order Priority],O122,Table4[Profit]),N122)</f>
        <v>1415.4295999999999</v>
      </c>
    </row>
    <row r="123" spans="1:17" ht="31.25" customHeight="1" x14ac:dyDescent="0.45">
      <c r="A123" s="5" t="s">
        <v>392</v>
      </c>
      <c r="B123" s="5" t="str">
        <f t="shared" si="4"/>
        <v>41984</v>
      </c>
      <c r="C123" s="2">
        <v>41955</v>
      </c>
      <c r="D123" s="1" t="s">
        <v>310</v>
      </c>
      <c r="E123" s="1" t="s">
        <v>94</v>
      </c>
      <c r="F123" s="1" t="s">
        <v>502</v>
      </c>
      <c r="G123" s="1" t="s">
        <v>17</v>
      </c>
      <c r="H123" s="1" t="s">
        <v>18</v>
      </c>
      <c r="I123" s="1" t="s">
        <v>19</v>
      </c>
      <c r="J123" s="1" t="s">
        <v>142</v>
      </c>
      <c r="K123" s="1">
        <v>1695.87</v>
      </c>
      <c r="L123" s="1">
        <v>5</v>
      </c>
      <c r="M123" s="1">
        <v>0.1</v>
      </c>
      <c r="N123" s="1">
        <v>-37.83</v>
      </c>
      <c r="O123" s="6" t="str">
        <f t="shared" si="5"/>
        <v>Critical</v>
      </c>
      <c r="P123" s="16">
        <f>IF(ISBLANK(K123),AVERAGEIF(Table4[Category],I123,Table4[Sales]),K123)</f>
        <v>1695.87</v>
      </c>
      <c r="Q123" s="16">
        <f>IF(ISBLANK(N123),AVERAGEIF(Table4[Order Priority],O123,Table4[Profit]),N123)</f>
        <v>-37.83</v>
      </c>
    </row>
    <row r="124" spans="1:17" ht="31.25" customHeight="1" x14ac:dyDescent="0.45">
      <c r="A124" s="5" t="s">
        <v>393</v>
      </c>
      <c r="B124" s="5" t="str">
        <f t="shared" si="4"/>
        <v>42081</v>
      </c>
      <c r="C124" s="1" t="s">
        <v>394</v>
      </c>
      <c r="D124" s="1" t="s">
        <v>395</v>
      </c>
      <c r="E124" s="1" t="s">
        <v>305</v>
      </c>
      <c r="F124" s="1" t="s">
        <v>548</v>
      </c>
      <c r="G124" s="1" t="s">
        <v>72</v>
      </c>
      <c r="H124" s="1" t="s">
        <v>73</v>
      </c>
      <c r="I124" s="1" t="s">
        <v>19</v>
      </c>
      <c r="J124" s="1" t="s">
        <v>48</v>
      </c>
      <c r="K124" s="1">
        <v>1505.979</v>
      </c>
      <c r="L124" s="1">
        <v>6</v>
      </c>
      <c r="M124" s="1">
        <v>0.15</v>
      </c>
      <c r="N124" s="1">
        <v>-265.76100000000002</v>
      </c>
      <c r="O124" s="6" t="str">
        <f t="shared" si="5"/>
        <v>Critical</v>
      </c>
      <c r="P124" s="15">
        <f>IF(ISBLANK(K124),AVERAGEIF(Table4[Category],I124,Table4[Sales]),K124)</f>
        <v>1505.979</v>
      </c>
      <c r="Q124" s="15">
        <f>IF(ISBLANK(N124),AVERAGEIF(Table4[Order Priority],O124,Table4[Profit]),N124)</f>
        <v>-265.76100000000002</v>
      </c>
    </row>
    <row r="125" spans="1:17" ht="31.25" customHeight="1" x14ac:dyDescent="0.45">
      <c r="A125" s="5" t="s">
        <v>396</v>
      </c>
      <c r="B125" s="5" t="str">
        <f t="shared" si="4"/>
        <v>42357</v>
      </c>
      <c r="C125" s="1" t="s">
        <v>228</v>
      </c>
      <c r="D125" s="1" t="s">
        <v>194</v>
      </c>
      <c r="E125" s="1" t="s">
        <v>397</v>
      </c>
      <c r="F125" s="1" t="s">
        <v>569</v>
      </c>
      <c r="G125" s="1" t="s">
        <v>398</v>
      </c>
      <c r="H125" s="1" t="s">
        <v>164</v>
      </c>
      <c r="I125" s="1" t="s">
        <v>19</v>
      </c>
      <c r="J125" s="1" t="s">
        <v>36</v>
      </c>
      <c r="K125" s="1">
        <v>1954.17</v>
      </c>
      <c r="L125" s="1">
        <v>3</v>
      </c>
      <c r="M125" s="1">
        <v>0</v>
      </c>
      <c r="N125" s="1">
        <v>312.66000000000003</v>
      </c>
      <c r="O125" s="6" t="str">
        <f t="shared" si="5"/>
        <v>Low</v>
      </c>
      <c r="P125" s="15">
        <f>IF(ISBLANK(K125),AVERAGEIF(Table4[Category],I125,Table4[Sales]),K125)</f>
        <v>1954.17</v>
      </c>
      <c r="Q125" s="15">
        <f>IF(ISBLANK(N125),AVERAGEIF(Table4[Order Priority],O125,Table4[Profit]),N125)</f>
        <v>312.66000000000003</v>
      </c>
    </row>
    <row r="126" spans="1:17" ht="31.25" customHeight="1" x14ac:dyDescent="0.45">
      <c r="A126" s="5" t="s">
        <v>389</v>
      </c>
      <c r="B126" s="5" t="str">
        <f t="shared" si="4"/>
        <v>42315</v>
      </c>
      <c r="C126" s="2">
        <v>42196</v>
      </c>
      <c r="D126" s="1" t="s">
        <v>390</v>
      </c>
      <c r="E126" s="1" t="s">
        <v>351</v>
      </c>
      <c r="F126" s="1" t="s">
        <v>561</v>
      </c>
      <c r="G126" s="1" t="s">
        <v>42</v>
      </c>
      <c r="H126" s="1" t="s">
        <v>45</v>
      </c>
      <c r="I126" s="1" t="s">
        <v>35</v>
      </c>
      <c r="J126" s="1" t="s">
        <v>36</v>
      </c>
      <c r="K126" s="1">
        <v>449.56799999999998</v>
      </c>
      <c r="L126" s="1">
        <v>2</v>
      </c>
      <c r="M126" s="1">
        <v>0.2</v>
      </c>
      <c r="N126" s="1">
        <v>-73.0548</v>
      </c>
      <c r="O126" s="6" t="str">
        <f t="shared" si="5"/>
        <v>Critical</v>
      </c>
      <c r="P126" s="16">
        <f>IF(ISBLANK(K126),AVERAGEIF(Table4[Category],I126,Table4[Sales]),K126)</f>
        <v>449.56799999999998</v>
      </c>
      <c r="Q126" s="16">
        <f>IF(ISBLANK(N126),AVERAGEIF(Table4[Order Priority],O126,Table4[Profit]),N126)</f>
        <v>-73.0548</v>
      </c>
    </row>
    <row r="127" spans="1:17" ht="31.25" customHeight="1" x14ac:dyDescent="0.45">
      <c r="A127" s="5" t="s">
        <v>399</v>
      </c>
      <c r="B127" s="5" t="str">
        <f t="shared" si="4"/>
        <v>41712</v>
      </c>
      <c r="C127" s="1" t="s">
        <v>400</v>
      </c>
      <c r="D127" s="1" t="s">
        <v>401</v>
      </c>
      <c r="E127" s="1" t="s">
        <v>351</v>
      </c>
      <c r="F127" s="1" t="s">
        <v>561</v>
      </c>
      <c r="G127" s="1" t="s">
        <v>42</v>
      </c>
      <c r="H127" s="1" t="s">
        <v>184</v>
      </c>
      <c r="I127" s="1" t="s">
        <v>47</v>
      </c>
      <c r="J127" s="1" t="s">
        <v>29</v>
      </c>
      <c r="K127" s="1">
        <v>160.32</v>
      </c>
      <c r="L127" s="1">
        <v>2</v>
      </c>
      <c r="M127" s="1">
        <v>0</v>
      </c>
      <c r="N127" s="1">
        <v>291.20200740000001</v>
      </c>
      <c r="O127" s="6" t="str">
        <f t="shared" si="5"/>
        <v>Low</v>
      </c>
      <c r="P127" s="15">
        <f>IF(ISBLANK(K127),AVERAGEIF(Table4[Category],I127,Table4[Sales]),K127)</f>
        <v>160.32</v>
      </c>
      <c r="Q127" s="15">
        <f>IF(ISBLANK(N127),AVERAGEIF(Table4[Order Priority],O127,Table4[Profit]),N127)</f>
        <v>291.20200740000001</v>
      </c>
    </row>
    <row r="128" spans="1:17" ht="31.25" customHeight="1" x14ac:dyDescent="0.45">
      <c r="A128" s="5" t="s">
        <v>391</v>
      </c>
      <c r="B128" s="5" t="str">
        <f t="shared" si="4"/>
        <v>41884</v>
      </c>
      <c r="C128" s="2">
        <v>42196</v>
      </c>
      <c r="D128" s="1" t="s">
        <v>390</v>
      </c>
      <c r="E128" s="1" t="s">
        <v>478</v>
      </c>
      <c r="F128" s="1" t="s">
        <v>478</v>
      </c>
      <c r="G128" s="1" t="s">
        <v>42</v>
      </c>
      <c r="H128" s="1" t="s">
        <v>45</v>
      </c>
      <c r="I128" s="1" t="s">
        <v>19</v>
      </c>
      <c r="J128" s="1" t="s">
        <v>46</v>
      </c>
      <c r="K128" s="1">
        <v>108.96</v>
      </c>
      <c r="L128" s="1">
        <v>5</v>
      </c>
      <c r="M128" s="1">
        <v>0</v>
      </c>
      <c r="N128" s="1">
        <v>32.688000000000002</v>
      </c>
      <c r="O128" s="6" t="str">
        <f t="shared" si="5"/>
        <v>Low</v>
      </c>
      <c r="P128" s="15">
        <f>IF(ISBLANK(K128),AVERAGEIF(Table4[Category],I128,Table4[Sales]),K128)</f>
        <v>108.96</v>
      </c>
      <c r="Q128" s="15">
        <f>IF(ISBLANK(N128),AVERAGEIF(Table4[Order Priority],O128,Table4[Profit]),N128)</f>
        <v>32.688000000000002</v>
      </c>
    </row>
    <row r="129" spans="1:17" ht="31.25" customHeight="1" x14ac:dyDescent="0.45">
      <c r="A129" s="5" t="s">
        <v>484</v>
      </c>
      <c r="B129" s="5" t="str">
        <f t="shared" si="4"/>
        <v>42265</v>
      </c>
      <c r="C129" s="1" t="s">
        <v>202</v>
      </c>
      <c r="D129" s="1" t="s">
        <v>202</v>
      </c>
      <c r="E129" s="1" t="s">
        <v>402</v>
      </c>
      <c r="F129" s="1" t="s">
        <v>570</v>
      </c>
      <c r="G129" s="1" t="s">
        <v>403</v>
      </c>
      <c r="H129" s="1" t="s">
        <v>64</v>
      </c>
      <c r="I129" s="1" t="s">
        <v>19</v>
      </c>
      <c r="J129" s="1" t="s">
        <v>36</v>
      </c>
      <c r="K129" s="1">
        <v>1213.18876</v>
      </c>
      <c r="L129" s="1">
        <v>7</v>
      </c>
      <c r="M129" s="1">
        <v>2E-3</v>
      </c>
      <c r="N129" s="1">
        <v>508.00876</v>
      </c>
      <c r="O129" s="6" t="str">
        <f t="shared" si="5"/>
        <v>Medium</v>
      </c>
      <c r="P129" s="16">
        <f>IF(ISBLANK(K129),AVERAGEIF(Table4[Category],I129,Table4[Sales]),K129)</f>
        <v>1213.18876</v>
      </c>
      <c r="Q129" s="16">
        <f>IF(ISBLANK(N129),AVERAGEIF(Table4[Order Priority],O129,Table4[Profit]),N129)</f>
        <v>508.00876</v>
      </c>
    </row>
    <row r="130" spans="1:17" ht="31.25" customHeight="1" x14ac:dyDescent="0.45">
      <c r="A130" s="5" t="s">
        <v>404</v>
      </c>
      <c r="B130" s="5" t="str">
        <f t="shared" si="4"/>
        <v>41968</v>
      </c>
      <c r="C130" s="1" t="s">
        <v>278</v>
      </c>
      <c r="D130" s="1" t="s">
        <v>322</v>
      </c>
      <c r="E130" s="1" t="s">
        <v>405</v>
      </c>
      <c r="F130" s="1" t="s">
        <v>571</v>
      </c>
      <c r="G130" s="1" t="s">
        <v>126</v>
      </c>
      <c r="H130" s="1" t="s">
        <v>53</v>
      </c>
      <c r="I130" s="1" t="s">
        <v>19</v>
      </c>
      <c r="J130" s="1" t="s">
        <v>26</v>
      </c>
      <c r="K130" s="1">
        <v>1590.6</v>
      </c>
      <c r="L130" s="1">
        <v>5</v>
      </c>
      <c r="M130" s="1">
        <v>0</v>
      </c>
      <c r="N130" s="1">
        <v>572.54999999999995</v>
      </c>
      <c r="O130" s="6" t="str">
        <f t="shared" ref="O130:O161" si="6">IF(N130&gt;1000,"High",IF(N130&gt;=500,"Medium",IF(N130&lt;=0,"Critical","Low")))</f>
        <v>Medium</v>
      </c>
      <c r="P130" s="15">
        <f>IF(ISBLANK(K130),AVERAGEIF(Table4[Category],I130,Table4[Sales]),K130)</f>
        <v>1590.6</v>
      </c>
      <c r="Q130" s="15">
        <f>IF(ISBLANK(N130),AVERAGEIF(Table4[Order Priority],O130,Table4[Profit]),N130)</f>
        <v>572.54999999999995</v>
      </c>
    </row>
    <row r="131" spans="1:17" ht="31.25" customHeight="1" x14ac:dyDescent="0.45">
      <c r="A131" s="5" t="s">
        <v>391</v>
      </c>
      <c r="B131" s="5" t="str">
        <f t="shared" ref="B131:B166" si="7">RIGHT(A131,5)</f>
        <v>41884</v>
      </c>
      <c r="C131" s="2">
        <v>41831</v>
      </c>
      <c r="D131" s="2">
        <v>41923</v>
      </c>
      <c r="E131" s="1" t="s">
        <v>406</v>
      </c>
      <c r="F131" s="1" t="s">
        <v>572</v>
      </c>
      <c r="G131" s="1" t="s">
        <v>67</v>
      </c>
      <c r="H131" s="1" t="s">
        <v>95</v>
      </c>
      <c r="I131" s="1" t="s">
        <v>19</v>
      </c>
      <c r="J131" s="1" t="s">
        <v>36</v>
      </c>
      <c r="K131" s="1"/>
      <c r="L131" s="1">
        <v>9</v>
      </c>
      <c r="M131" s="1">
        <v>0</v>
      </c>
      <c r="N131" s="1">
        <v>1025.46</v>
      </c>
      <c r="O131" s="6" t="str">
        <f t="shared" si="6"/>
        <v>High</v>
      </c>
      <c r="P131" s="15">
        <f>IF(ISBLANK(K131),AVERAGEIF(Table4[Category],I131,Table4[Sales]),K131)</f>
        <v>2460.5932578461534</v>
      </c>
      <c r="Q131" s="15">
        <f>IF(ISBLANK(N131),AVERAGEIF(Table4[Order Priority],O131,Table4[Profit]),N131)</f>
        <v>1025.46</v>
      </c>
    </row>
    <row r="132" spans="1:17" ht="31.25" customHeight="1" x14ac:dyDescent="0.45">
      <c r="A132" s="5" t="s">
        <v>407</v>
      </c>
      <c r="B132" s="5" t="str">
        <f t="shared" si="7"/>
        <v>42204</v>
      </c>
      <c r="C132" s="1" t="s">
        <v>408</v>
      </c>
      <c r="D132" s="1" t="s">
        <v>409</v>
      </c>
      <c r="E132" s="1" t="s">
        <v>410</v>
      </c>
      <c r="F132" s="1" t="s">
        <v>573</v>
      </c>
      <c r="G132" s="1" t="s">
        <v>163</v>
      </c>
      <c r="H132" s="1" t="s">
        <v>164</v>
      </c>
      <c r="I132" s="1" t="s">
        <v>35</v>
      </c>
      <c r="J132" s="1" t="s">
        <v>36</v>
      </c>
      <c r="K132" s="1">
        <v>3278.5848000000001</v>
      </c>
      <c r="L132" s="1">
        <v>8</v>
      </c>
      <c r="M132" s="1">
        <v>7.0000000000000007E-2</v>
      </c>
      <c r="N132" s="1">
        <v>140.82480000000001</v>
      </c>
      <c r="O132" s="6" t="str">
        <f t="shared" si="6"/>
        <v>Low</v>
      </c>
      <c r="P132" s="16">
        <f>IF(ISBLANK(K132),AVERAGEIF(Table4[Category],I132,Table4[Sales]),K132)</f>
        <v>3278.5848000000001</v>
      </c>
      <c r="Q132" s="16">
        <f>IF(ISBLANK(N132),AVERAGEIF(Table4[Order Priority],O132,Table4[Profit]),N132)</f>
        <v>140.82480000000001</v>
      </c>
    </row>
    <row r="133" spans="1:17" ht="31.25" customHeight="1" x14ac:dyDescent="0.45">
      <c r="A133" s="5" t="s">
        <v>411</v>
      </c>
      <c r="B133" s="5" t="str">
        <f t="shared" si="7"/>
        <v>41502</v>
      </c>
      <c r="C133" s="1" t="s">
        <v>412</v>
      </c>
      <c r="D133" s="1" t="s">
        <v>412</v>
      </c>
      <c r="E133" s="1" t="s">
        <v>248</v>
      </c>
      <c r="F133" s="1" t="s">
        <v>535</v>
      </c>
      <c r="G133" s="1" t="s">
        <v>413</v>
      </c>
      <c r="H133" s="1" t="s">
        <v>164</v>
      </c>
      <c r="I133" s="1" t="s">
        <v>19</v>
      </c>
      <c r="J133" s="1" t="s">
        <v>20</v>
      </c>
      <c r="K133" s="1">
        <v>3741.5237999999999</v>
      </c>
      <c r="L133" s="1">
        <v>7</v>
      </c>
      <c r="M133" s="1">
        <v>0.17</v>
      </c>
      <c r="N133" s="1">
        <v>946.63379999999995</v>
      </c>
      <c r="O133" s="6" t="str">
        <f t="shared" si="6"/>
        <v>Medium</v>
      </c>
      <c r="P133" s="15">
        <f>IF(ISBLANK(K133),AVERAGEIF(Table4[Category],I133,Table4[Sales]),K133)</f>
        <v>3741.5237999999999</v>
      </c>
      <c r="Q133" s="15">
        <f>IF(ISBLANK(N133),AVERAGEIF(Table4[Order Priority],O133,Table4[Profit]),N133)</f>
        <v>946.63379999999995</v>
      </c>
    </row>
    <row r="134" spans="1:17" ht="31.25" customHeight="1" x14ac:dyDescent="0.45">
      <c r="A134" s="5" t="s">
        <v>391</v>
      </c>
      <c r="B134" s="5" t="str">
        <f t="shared" si="7"/>
        <v>41884</v>
      </c>
      <c r="C134" s="2">
        <v>42166</v>
      </c>
      <c r="D134" s="2">
        <v>42227</v>
      </c>
      <c r="E134" s="1" t="s">
        <v>351</v>
      </c>
      <c r="F134" s="1" t="s">
        <v>561</v>
      </c>
      <c r="G134" s="1" t="s">
        <v>42</v>
      </c>
      <c r="H134" s="1" t="s">
        <v>43</v>
      </c>
      <c r="I134" s="1" t="s">
        <v>47</v>
      </c>
      <c r="J134" s="1" t="s">
        <v>180</v>
      </c>
      <c r="K134" s="1">
        <v>67.8</v>
      </c>
      <c r="L134" s="1">
        <v>10</v>
      </c>
      <c r="M134" s="1">
        <v>0</v>
      </c>
      <c r="N134" s="1">
        <v>31.187999999999999</v>
      </c>
      <c r="O134" s="6" t="str">
        <f t="shared" si="6"/>
        <v>Low</v>
      </c>
      <c r="P134" s="15">
        <f>IF(ISBLANK(K134),AVERAGEIF(Table4[Category],I134,Table4[Sales]),K134)</f>
        <v>67.8</v>
      </c>
      <c r="Q134" s="15">
        <f>IF(ISBLANK(N134),AVERAGEIF(Table4[Order Priority],O134,Table4[Profit]),N134)</f>
        <v>31.187999999999999</v>
      </c>
    </row>
    <row r="135" spans="1:17" ht="31.25" customHeight="1" x14ac:dyDescent="0.45">
      <c r="A135" s="5" t="s">
        <v>414</v>
      </c>
      <c r="B135" s="5" t="str">
        <f t="shared" si="7"/>
        <v>41284</v>
      </c>
      <c r="C135" s="2">
        <v>41548</v>
      </c>
      <c r="D135" s="1" t="s">
        <v>415</v>
      </c>
      <c r="E135" s="1" t="s">
        <v>330</v>
      </c>
      <c r="F135" s="1" t="s">
        <v>554</v>
      </c>
      <c r="G135" s="1" t="s">
        <v>163</v>
      </c>
      <c r="H135" s="1" t="s">
        <v>164</v>
      </c>
      <c r="I135" s="1" t="s">
        <v>35</v>
      </c>
      <c r="J135" s="1" t="s">
        <v>29</v>
      </c>
      <c r="K135" s="1">
        <v>3637.6019999999999</v>
      </c>
      <c r="L135" s="1">
        <v>10</v>
      </c>
      <c r="M135" s="1">
        <v>7.0000000000000007E-2</v>
      </c>
      <c r="N135" s="1">
        <v>156.40199999999999</v>
      </c>
      <c r="O135" s="6" t="str">
        <f t="shared" si="6"/>
        <v>Low</v>
      </c>
      <c r="P135" s="16">
        <f>IF(ISBLANK(K135),AVERAGEIF(Table4[Category],I135,Table4[Sales]),K135)</f>
        <v>3637.6019999999999</v>
      </c>
      <c r="Q135" s="16">
        <f>IF(ISBLANK(N135),AVERAGEIF(Table4[Order Priority],O135,Table4[Profit]),N135)</f>
        <v>156.40199999999999</v>
      </c>
    </row>
    <row r="136" spans="1:17" ht="31.25" customHeight="1" x14ac:dyDescent="0.45">
      <c r="A136" s="5" t="s">
        <v>416</v>
      </c>
      <c r="B136" s="5" t="str">
        <f t="shared" si="7"/>
        <v>41667</v>
      </c>
      <c r="C136" s="1" t="s">
        <v>22</v>
      </c>
      <c r="D136" s="1" t="s">
        <v>23</v>
      </c>
      <c r="E136" s="1" t="s">
        <v>478</v>
      </c>
      <c r="F136" s="1" t="s">
        <v>478</v>
      </c>
      <c r="G136" s="1" t="s">
        <v>103</v>
      </c>
      <c r="H136" s="1" t="s">
        <v>104</v>
      </c>
      <c r="I136" s="1" t="s">
        <v>47</v>
      </c>
      <c r="J136" s="1" t="s">
        <v>26</v>
      </c>
      <c r="K136" s="1"/>
      <c r="L136" s="1">
        <v>5</v>
      </c>
      <c r="M136" s="1">
        <v>0</v>
      </c>
      <c r="N136" s="1">
        <v>785.82</v>
      </c>
      <c r="O136" s="6" t="str">
        <f t="shared" si="6"/>
        <v>Medium</v>
      </c>
      <c r="P136" s="15">
        <f>IF(ISBLANK(K136),AVERAGEIF(Table4[Category],I136,Table4[Sales]),K136)</f>
        <v>1621.4477189189192</v>
      </c>
      <c r="Q136" s="15">
        <f>IF(ISBLANK(N136),AVERAGEIF(Table4[Order Priority],O136,Table4[Profit]),N136)</f>
        <v>785.82</v>
      </c>
    </row>
    <row r="137" spans="1:17" ht="31.25" customHeight="1" x14ac:dyDescent="0.45">
      <c r="A137" s="5" t="s">
        <v>417</v>
      </c>
      <c r="B137" s="5" t="str">
        <f t="shared" si="7"/>
        <v>41439</v>
      </c>
      <c r="C137" s="1" t="s">
        <v>418</v>
      </c>
      <c r="D137" s="1" t="s">
        <v>419</v>
      </c>
      <c r="E137" s="1" t="s">
        <v>41</v>
      </c>
      <c r="F137" s="1" t="s">
        <v>493</v>
      </c>
      <c r="G137" s="1" t="s">
        <v>67</v>
      </c>
      <c r="H137" s="1" t="s">
        <v>479</v>
      </c>
      <c r="I137" s="1" t="s">
        <v>19</v>
      </c>
      <c r="J137" s="1" t="s">
        <v>180</v>
      </c>
      <c r="K137" s="1">
        <v>1024.68</v>
      </c>
      <c r="L137" s="1">
        <v>8</v>
      </c>
      <c r="M137" s="1">
        <v>0.5</v>
      </c>
      <c r="N137" s="1"/>
      <c r="O137" s="6" t="str">
        <f t="shared" si="6"/>
        <v>Critical</v>
      </c>
      <c r="P137" s="15">
        <f>IF(ISBLANK(K137),AVERAGEIF(Table4[Category],I137,Table4[Sales]),K137)</f>
        <v>1024.68</v>
      </c>
      <c r="Q137" s="15">
        <f>IF(ISBLANK(N137),AVERAGEIF(Table4[Order Priority],O137,Table4[Profit]),N137)</f>
        <v>-390.4273300000001</v>
      </c>
    </row>
    <row r="138" spans="1:17" ht="31.25" customHeight="1" x14ac:dyDescent="0.45">
      <c r="A138" s="9" t="s">
        <v>420</v>
      </c>
      <c r="B138" s="5" t="str">
        <f t="shared" si="7"/>
        <v>42314</v>
      </c>
      <c r="C138" s="1" t="s">
        <v>296</v>
      </c>
      <c r="D138" s="2">
        <v>42227</v>
      </c>
      <c r="E138" s="1" t="s">
        <v>351</v>
      </c>
      <c r="F138" s="1" t="s">
        <v>561</v>
      </c>
      <c r="G138" s="1" t="s">
        <v>42</v>
      </c>
      <c r="H138" s="1" t="s">
        <v>43</v>
      </c>
      <c r="I138" s="1" t="s">
        <v>47</v>
      </c>
      <c r="J138" s="1" t="s">
        <v>77</v>
      </c>
      <c r="K138" s="1">
        <v>167.94</v>
      </c>
      <c r="L138" s="1">
        <v>3</v>
      </c>
      <c r="M138" s="1">
        <v>0</v>
      </c>
      <c r="N138" s="1">
        <v>82.290599999999998</v>
      </c>
      <c r="O138" s="6" t="str">
        <f t="shared" si="6"/>
        <v>Low</v>
      </c>
      <c r="P138" s="16">
        <f>IF(ISBLANK(K138),AVERAGEIF(Table4[Category],I138,Table4[Sales]),K138)</f>
        <v>167.94</v>
      </c>
      <c r="Q138" s="16">
        <f>IF(ISBLANK(N138),AVERAGEIF(Table4[Order Priority],O138,Table4[Profit]),N138)</f>
        <v>82.290599999999998</v>
      </c>
    </row>
    <row r="139" spans="1:17" ht="31.25" customHeight="1" x14ac:dyDescent="0.45">
      <c r="A139" s="5" t="s">
        <v>391</v>
      </c>
      <c r="B139" s="5" t="str">
        <f t="shared" si="7"/>
        <v>41884</v>
      </c>
      <c r="C139" s="2">
        <v>41679</v>
      </c>
      <c r="D139" s="2">
        <v>41738</v>
      </c>
      <c r="E139" s="1" t="s">
        <v>351</v>
      </c>
      <c r="F139" s="1" t="s">
        <v>561</v>
      </c>
      <c r="G139" s="1" t="s">
        <v>42</v>
      </c>
      <c r="H139" s="1" t="s">
        <v>122</v>
      </c>
      <c r="I139" s="1" t="s">
        <v>47</v>
      </c>
      <c r="J139" s="1" t="s">
        <v>142</v>
      </c>
      <c r="K139" s="1"/>
      <c r="L139" s="1">
        <v>2</v>
      </c>
      <c r="M139" s="1">
        <v>0</v>
      </c>
      <c r="N139" s="1">
        <v>83.822606759999999</v>
      </c>
      <c r="O139" s="6" t="str">
        <f t="shared" si="6"/>
        <v>Low</v>
      </c>
      <c r="P139" s="15">
        <f>IF(ISBLANK(K139),AVERAGEIF(Table4[Category],I139,Table4[Sales]),K139)</f>
        <v>1621.4477189189192</v>
      </c>
      <c r="Q139" s="15">
        <f>IF(ISBLANK(N139),AVERAGEIF(Table4[Order Priority],O139,Table4[Profit]),N139)</f>
        <v>83.822606759999999</v>
      </c>
    </row>
    <row r="140" spans="1:17" ht="31.25" customHeight="1" x14ac:dyDescent="0.45">
      <c r="A140" s="5" t="s">
        <v>421</v>
      </c>
      <c r="B140" s="5" t="str">
        <f t="shared" si="7"/>
        <v>41614</v>
      </c>
      <c r="C140" s="2">
        <v>41437</v>
      </c>
      <c r="D140" s="2">
        <v>41498</v>
      </c>
      <c r="E140" s="1" t="s">
        <v>422</v>
      </c>
      <c r="F140" s="1" t="s">
        <v>574</v>
      </c>
      <c r="G140" s="1" t="s">
        <v>63</v>
      </c>
      <c r="H140" s="1" t="s">
        <v>64</v>
      </c>
      <c r="I140" s="1" t="s">
        <v>19</v>
      </c>
      <c r="J140" s="1" t="s">
        <v>26</v>
      </c>
      <c r="K140" s="1">
        <v>2297.96</v>
      </c>
      <c r="L140" s="1">
        <v>14</v>
      </c>
      <c r="M140" s="1">
        <v>0</v>
      </c>
      <c r="N140" s="1">
        <v>988.12</v>
      </c>
      <c r="O140" s="6" t="str">
        <f t="shared" si="6"/>
        <v>Medium</v>
      </c>
      <c r="P140" s="15">
        <f>IF(ISBLANK(K140),AVERAGEIF(Table4[Category],I140,Table4[Sales]),K140)</f>
        <v>2297.96</v>
      </c>
      <c r="Q140" s="15">
        <f>IF(ISBLANK(N140),AVERAGEIF(Table4[Order Priority],O140,Table4[Profit]),N140)</f>
        <v>988.12</v>
      </c>
    </row>
    <row r="141" spans="1:17" ht="31.25" customHeight="1" x14ac:dyDescent="0.45">
      <c r="A141" s="5" t="s">
        <v>423</v>
      </c>
      <c r="B141" s="5" t="str">
        <f t="shared" si="7"/>
        <v>41887</v>
      </c>
      <c r="C141" s="2">
        <v>41768</v>
      </c>
      <c r="D141" s="2">
        <v>41829</v>
      </c>
      <c r="E141" s="1" t="s">
        <v>424</v>
      </c>
      <c r="F141" s="1" t="s">
        <v>575</v>
      </c>
      <c r="G141" s="1" t="s">
        <v>80</v>
      </c>
      <c r="H141" s="1" t="s">
        <v>81</v>
      </c>
      <c r="I141" s="1" t="s">
        <v>19</v>
      </c>
      <c r="J141" s="1" t="s">
        <v>142</v>
      </c>
      <c r="K141" s="1">
        <v>2671.41</v>
      </c>
      <c r="L141" s="1">
        <v>7</v>
      </c>
      <c r="M141" s="1">
        <v>0</v>
      </c>
      <c r="N141" s="1"/>
      <c r="O141" s="6" t="str">
        <f t="shared" si="6"/>
        <v>Critical</v>
      </c>
      <c r="P141" s="16">
        <f>IF(ISBLANK(K141),AVERAGEIF(Table4[Category],I141,Table4[Sales]),K141)</f>
        <v>2671.41</v>
      </c>
      <c r="Q141" s="16">
        <f>IF(ISBLANK(N141),AVERAGEIF(Table4[Order Priority],O141,Table4[Profit]),N141)</f>
        <v>-390.4273300000001</v>
      </c>
    </row>
    <row r="142" spans="1:17" ht="31.25" customHeight="1" x14ac:dyDescent="0.45">
      <c r="A142" s="5" t="s">
        <v>425</v>
      </c>
      <c r="B142" s="5" t="str">
        <f t="shared" si="7"/>
        <v>42265</v>
      </c>
      <c r="C142" s="1" t="s">
        <v>202</v>
      </c>
      <c r="D142" s="1" t="s">
        <v>426</v>
      </c>
      <c r="E142" s="1" t="s">
        <v>427</v>
      </c>
      <c r="F142" s="1" t="s">
        <v>576</v>
      </c>
      <c r="G142" s="1" t="s">
        <v>428</v>
      </c>
      <c r="H142" s="1" t="s">
        <v>89</v>
      </c>
      <c r="I142" s="1" t="s">
        <v>19</v>
      </c>
      <c r="J142" s="1" t="s">
        <v>20</v>
      </c>
      <c r="K142" s="1">
        <v>3834</v>
      </c>
      <c r="L142" s="1">
        <v>6</v>
      </c>
      <c r="M142" s="1">
        <v>0</v>
      </c>
      <c r="N142" s="1">
        <v>268.38</v>
      </c>
      <c r="O142" s="6" t="str">
        <f t="shared" si="6"/>
        <v>Low</v>
      </c>
      <c r="P142" s="15">
        <f>IF(ISBLANK(K142),AVERAGEIF(Table4[Category],I142,Table4[Sales]),K142)</f>
        <v>3834</v>
      </c>
      <c r="Q142" s="15">
        <f>IF(ISBLANK(N142),AVERAGEIF(Table4[Order Priority],O142,Table4[Profit]),N142)</f>
        <v>268.38</v>
      </c>
    </row>
    <row r="143" spans="1:17" ht="31.25" customHeight="1" x14ac:dyDescent="0.45">
      <c r="A143" s="5" t="s">
        <v>391</v>
      </c>
      <c r="B143" s="5" t="str">
        <f t="shared" si="7"/>
        <v>41884</v>
      </c>
      <c r="C143" s="2">
        <v>41679</v>
      </c>
      <c r="D143" s="2">
        <v>41738</v>
      </c>
      <c r="E143" s="1" t="s">
        <v>351</v>
      </c>
      <c r="F143" s="1" t="s">
        <v>561</v>
      </c>
      <c r="G143" s="1" t="s">
        <v>429</v>
      </c>
      <c r="H143" s="1" t="s">
        <v>122</v>
      </c>
      <c r="I143" s="1" t="s">
        <v>47</v>
      </c>
      <c r="J143" s="1" t="s">
        <v>36</v>
      </c>
      <c r="K143" s="1">
        <v>49.12</v>
      </c>
      <c r="L143" s="1">
        <v>4</v>
      </c>
      <c r="M143" s="1">
        <v>0</v>
      </c>
      <c r="N143" s="1">
        <v>23.086400000000001</v>
      </c>
      <c r="O143" s="6" t="str">
        <f t="shared" si="6"/>
        <v>Low</v>
      </c>
      <c r="P143" s="15">
        <f>IF(ISBLANK(K143),AVERAGEIF(Table4[Category],I143,Table4[Sales]),K143)</f>
        <v>49.12</v>
      </c>
      <c r="Q143" s="15">
        <f>IF(ISBLANK(N143),AVERAGEIF(Table4[Order Priority],O143,Table4[Profit]),N143)</f>
        <v>23.086400000000001</v>
      </c>
    </row>
    <row r="144" spans="1:17" ht="31.25" customHeight="1" x14ac:dyDescent="0.45">
      <c r="A144" s="5" t="s">
        <v>430</v>
      </c>
      <c r="B144" s="5" t="str">
        <f t="shared" si="7"/>
        <v>41489</v>
      </c>
      <c r="C144" s="2">
        <v>41341</v>
      </c>
      <c r="D144" s="2">
        <v>41494</v>
      </c>
      <c r="E144" s="1" t="s">
        <v>431</v>
      </c>
      <c r="F144" s="1" t="s">
        <v>577</v>
      </c>
      <c r="G144" s="1" t="s">
        <v>163</v>
      </c>
      <c r="H144" s="1" t="s">
        <v>164</v>
      </c>
      <c r="I144" s="1" t="s">
        <v>47</v>
      </c>
      <c r="J144" s="1" t="s">
        <v>29</v>
      </c>
      <c r="K144" s="1">
        <v>3501.7368000000001</v>
      </c>
      <c r="L144" s="1">
        <v>8</v>
      </c>
      <c r="M144" s="1">
        <v>0.17</v>
      </c>
      <c r="N144" s="1">
        <v>210.85679999999999</v>
      </c>
      <c r="O144" s="6" t="str">
        <f t="shared" si="6"/>
        <v>Low</v>
      </c>
      <c r="P144" s="16">
        <f>IF(ISBLANK(K144),AVERAGEIF(Table4[Category],I144,Table4[Sales]),K144)</f>
        <v>3501.7368000000001</v>
      </c>
      <c r="Q144" s="16">
        <f>IF(ISBLANK(N144),AVERAGEIF(Table4[Order Priority],O144,Table4[Profit]),N144)</f>
        <v>210.85679999999999</v>
      </c>
    </row>
    <row r="145" spans="1:17" ht="31.25" customHeight="1" x14ac:dyDescent="0.45">
      <c r="A145" s="5" t="s">
        <v>432</v>
      </c>
      <c r="B145" s="5" t="str">
        <f t="shared" si="7"/>
        <v>42347</v>
      </c>
      <c r="C145" s="1" t="s">
        <v>22</v>
      </c>
      <c r="D145" s="2">
        <v>42320</v>
      </c>
      <c r="E145" s="1" t="s">
        <v>433</v>
      </c>
      <c r="F145" s="1" t="s">
        <v>578</v>
      </c>
      <c r="G145" s="1" t="s">
        <v>17</v>
      </c>
      <c r="H145" s="1" t="s">
        <v>18</v>
      </c>
      <c r="I145" s="1" t="s">
        <v>19</v>
      </c>
      <c r="J145" s="1" t="s">
        <v>26</v>
      </c>
      <c r="K145" s="1">
        <v>1725.462</v>
      </c>
      <c r="L145" s="1">
        <v>3</v>
      </c>
      <c r="M145" s="1">
        <v>0.1</v>
      </c>
      <c r="N145" s="1">
        <v>747.61199999999997</v>
      </c>
      <c r="O145" s="6" t="str">
        <f t="shared" si="6"/>
        <v>Medium</v>
      </c>
      <c r="P145" s="15">
        <f>IF(ISBLANK(K145),AVERAGEIF(Table4[Category],I145,Table4[Sales]),K145)</f>
        <v>1725.462</v>
      </c>
      <c r="Q145" s="15">
        <f>IF(ISBLANK(N145),AVERAGEIF(Table4[Order Priority],O145,Table4[Profit]),N145)</f>
        <v>747.61199999999997</v>
      </c>
    </row>
    <row r="146" spans="1:17" ht="31.25" customHeight="1" x14ac:dyDescent="0.45">
      <c r="A146" s="5" t="s">
        <v>434</v>
      </c>
      <c r="B146" s="5" t="str">
        <f t="shared" si="7"/>
        <v>41572</v>
      </c>
      <c r="C146" s="1" t="s">
        <v>435</v>
      </c>
      <c r="D146" s="1" t="s">
        <v>436</v>
      </c>
      <c r="E146" s="1" t="s">
        <v>437</v>
      </c>
      <c r="F146" s="1" t="s">
        <v>579</v>
      </c>
      <c r="G146" s="1" t="s">
        <v>67</v>
      </c>
      <c r="H146" s="1" t="s">
        <v>95</v>
      </c>
      <c r="I146" s="1" t="s">
        <v>19</v>
      </c>
      <c r="J146" s="1" t="s">
        <v>77</v>
      </c>
      <c r="K146" s="1">
        <v>1583.7</v>
      </c>
      <c r="L146" s="1">
        <v>5</v>
      </c>
      <c r="M146" s="1">
        <v>0</v>
      </c>
      <c r="N146" s="1">
        <v>174.15</v>
      </c>
      <c r="O146" s="6" t="str">
        <f t="shared" si="6"/>
        <v>Low</v>
      </c>
      <c r="P146" s="15">
        <f>IF(ISBLANK(K146),AVERAGEIF(Table4[Category],I146,Table4[Sales]),K146)</f>
        <v>1583.7</v>
      </c>
      <c r="Q146" s="15">
        <f>IF(ISBLANK(N146),AVERAGEIF(Table4[Order Priority],O146,Table4[Profit]),N146)</f>
        <v>174.15</v>
      </c>
    </row>
    <row r="147" spans="1:17" ht="31.25" customHeight="1" x14ac:dyDescent="0.45">
      <c r="A147" s="5" t="s">
        <v>438</v>
      </c>
      <c r="B147" s="5" t="str">
        <f t="shared" si="7"/>
        <v>42132</v>
      </c>
      <c r="C147" s="2">
        <v>42221</v>
      </c>
      <c r="D147" s="1" t="s">
        <v>439</v>
      </c>
      <c r="E147" s="1" t="s">
        <v>478</v>
      </c>
      <c r="F147" s="1" t="s">
        <v>478</v>
      </c>
      <c r="G147" s="1" t="s">
        <v>42</v>
      </c>
      <c r="H147" s="1" t="s">
        <v>45</v>
      </c>
      <c r="I147" s="1" t="s">
        <v>19</v>
      </c>
      <c r="J147" s="1" t="s">
        <v>29</v>
      </c>
      <c r="K147" s="1">
        <v>79.989999999999995</v>
      </c>
      <c r="L147" s="1">
        <v>1</v>
      </c>
      <c r="M147" s="1">
        <v>0</v>
      </c>
      <c r="N147" s="1">
        <v>28.796399999999998</v>
      </c>
      <c r="O147" s="6" t="str">
        <f t="shared" si="6"/>
        <v>Low</v>
      </c>
      <c r="P147" s="16">
        <f>IF(ISBLANK(K147),AVERAGEIF(Table4[Category],I147,Table4[Sales]),K147)</f>
        <v>79.989999999999995</v>
      </c>
      <c r="Q147" s="16">
        <f>IF(ISBLANK(N147),AVERAGEIF(Table4[Order Priority],O147,Table4[Profit]),N147)</f>
        <v>28.796399999999998</v>
      </c>
    </row>
    <row r="148" spans="1:17" ht="31.25" customHeight="1" x14ac:dyDescent="0.45">
      <c r="A148" s="5" t="s">
        <v>440</v>
      </c>
      <c r="B148" s="5" t="str">
        <f t="shared" si="7"/>
        <v>41878</v>
      </c>
      <c r="C148" s="1" t="s">
        <v>441</v>
      </c>
      <c r="D148" s="1" t="s">
        <v>442</v>
      </c>
      <c r="E148" s="1" t="s">
        <v>443</v>
      </c>
      <c r="F148" s="1" t="s">
        <v>580</v>
      </c>
      <c r="G148" s="1" t="s">
        <v>17</v>
      </c>
      <c r="H148" s="1" t="s">
        <v>18</v>
      </c>
      <c r="I148" s="1" t="s">
        <v>35</v>
      </c>
      <c r="J148" s="1" t="s">
        <v>36</v>
      </c>
      <c r="K148" s="1">
        <v>2760.3449999999998</v>
      </c>
      <c r="L148" s="1">
        <v>7</v>
      </c>
      <c r="M148" s="1">
        <v>0.1</v>
      </c>
      <c r="N148" s="1">
        <v>-214.72499999999999</v>
      </c>
      <c r="O148" s="6" t="str">
        <f t="shared" si="6"/>
        <v>Critical</v>
      </c>
      <c r="P148" s="15">
        <f>IF(ISBLANK(K148),AVERAGEIF(Table4[Category],I148,Table4[Sales]),K148)</f>
        <v>2760.3449999999998</v>
      </c>
      <c r="Q148" s="15">
        <f>IF(ISBLANK(N148),AVERAGEIF(Table4[Order Priority],O148,Table4[Profit]),N148)</f>
        <v>-214.72499999999999</v>
      </c>
    </row>
    <row r="149" spans="1:17" ht="31.25" customHeight="1" x14ac:dyDescent="0.45">
      <c r="A149" s="5" t="s">
        <v>391</v>
      </c>
      <c r="B149" s="5" t="str">
        <f t="shared" si="7"/>
        <v>41884</v>
      </c>
      <c r="C149" s="2">
        <v>41248</v>
      </c>
      <c r="D149" s="1" t="s">
        <v>444</v>
      </c>
      <c r="E149" s="1" t="s">
        <v>320</v>
      </c>
      <c r="F149" s="1" t="s">
        <v>552</v>
      </c>
      <c r="G149" s="1" t="s">
        <v>225</v>
      </c>
      <c r="H149" s="1" t="s">
        <v>53</v>
      </c>
      <c r="I149" s="1" t="s">
        <v>19</v>
      </c>
      <c r="J149" s="1" t="s">
        <v>26</v>
      </c>
      <c r="K149" s="1">
        <v>3078.72</v>
      </c>
      <c r="L149" s="1">
        <v>12</v>
      </c>
      <c r="M149" s="1">
        <v>0</v>
      </c>
      <c r="N149" s="1">
        <v>523.08000000000004</v>
      </c>
      <c r="O149" s="6" t="str">
        <f t="shared" si="6"/>
        <v>Medium</v>
      </c>
      <c r="P149" s="15">
        <f>IF(ISBLANK(K149),AVERAGEIF(Table4[Category],I149,Table4[Sales]),K149)</f>
        <v>3078.72</v>
      </c>
      <c r="Q149" s="15">
        <f>IF(ISBLANK(N149),AVERAGEIF(Table4[Order Priority],O149,Table4[Profit]),N149)</f>
        <v>523.08000000000004</v>
      </c>
    </row>
    <row r="150" spans="1:17" ht="31.25" customHeight="1" x14ac:dyDescent="0.45">
      <c r="A150" s="5" t="s">
        <v>445</v>
      </c>
      <c r="B150" s="5" t="str">
        <f t="shared" si="7"/>
        <v>41215</v>
      </c>
      <c r="C150" s="2">
        <v>40950</v>
      </c>
      <c r="D150" s="2">
        <v>41040</v>
      </c>
      <c r="E150" s="1" t="s">
        <v>446</v>
      </c>
      <c r="F150" s="1" t="s">
        <v>576</v>
      </c>
      <c r="G150" s="1" t="s">
        <v>359</v>
      </c>
      <c r="H150" s="1" t="s">
        <v>116</v>
      </c>
      <c r="I150" s="1" t="s">
        <v>47</v>
      </c>
      <c r="J150" s="1" t="s">
        <v>180</v>
      </c>
      <c r="K150" s="1">
        <v>1983.135</v>
      </c>
      <c r="L150" s="1">
        <v>5</v>
      </c>
      <c r="M150" s="1">
        <v>0.5</v>
      </c>
      <c r="N150" s="1">
        <v>-1784.895</v>
      </c>
      <c r="O150" s="6" t="str">
        <f t="shared" si="6"/>
        <v>Critical</v>
      </c>
      <c r="P150" s="16">
        <f>IF(ISBLANK(K150),AVERAGEIF(Table4[Category],I150,Table4[Sales]),K150)</f>
        <v>1983.135</v>
      </c>
      <c r="Q150" s="16">
        <f>IF(ISBLANK(N150),AVERAGEIF(Table4[Order Priority],O150,Table4[Profit]),N150)</f>
        <v>-1784.895</v>
      </c>
    </row>
    <row r="151" spans="1:17" ht="31.25" customHeight="1" x14ac:dyDescent="0.45">
      <c r="A151" s="5" t="s">
        <v>447</v>
      </c>
      <c r="B151" s="5" t="str">
        <f t="shared" si="7"/>
        <v>42218</v>
      </c>
      <c r="C151" s="2">
        <v>42043</v>
      </c>
      <c r="D151" s="2">
        <v>42071</v>
      </c>
      <c r="E151" s="1" t="s">
        <v>478</v>
      </c>
      <c r="F151" s="1" t="s">
        <v>478</v>
      </c>
      <c r="G151" s="1" t="s">
        <v>72</v>
      </c>
      <c r="H151" s="1" t="s">
        <v>73</v>
      </c>
      <c r="I151" s="1" t="s">
        <v>35</v>
      </c>
      <c r="J151" s="1" t="s">
        <v>20</v>
      </c>
      <c r="K151" s="1">
        <v>1112.778</v>
      </c>
      <c r="L151" s="1">
        <v>3</v>
      </c>
      <c r="M151" s="1">
        <v>0</v>
      </c>
      <c r="N151" s="1">
        <v>296.65800000000002</v>
      </c>
      <c r="O151" s="6" t="str">
        <f t="shared" si="6"/>
        <v>Low</v>
      </c>
      <c r="P151" s="15">
        <f>IF(ISBLANK(K151),AVERAGEIF(Table4[Category],I151,Table4[Sales]),K151)</f>
        <v>1112.778</v>
      </c>
      <c r="Q151" s="15">
        <f>IF(ISBLANK(N151),AVERAGEIF(Table4[Order Priority],O151,Table4[Profit]),N151)</f>
        <v>296.65800000000002</v>
      </c>
    </row>
    <row r="152" spans="1:17" ht="31.25" customHeight="1" x14ac:dyDescent="0.45">
      <c r="A152" s="5" t="s">
        <v>448</v>
      </c>
      <c r="B152" s="5" t="str">
        <f t="shared" si="7"/>
        <v>41171</v>
      </c>
      <c r="C152" s="1" t="s">
        <v>449</v>
      </c>
      <c r="D152" s="3">
        <v>41173</v>
      </c>
      <c r="E152" s="1" t="s">
        <v>355</v>
      </c>
      <c r="F152" s="1" t="s">
        <v>562</v>
      </c>
      <c r="G152" s="1" t="s">
        <v>25</v>
      </c>
      <c r="H152" s="1" t="s">
        <v>73</v>
      </c>
      <c r="I152" s="1" t="s">
        <v>19</v>
      </c>
      <c r="J152" s="1" t="s">
        <v>77</v>
      </c>
      <c r="K152" s="1">
        <v>3616.5</v>
      </c>
      <c r="L152" s="1">
        <v>10</v>
      </c>
      <c r="M152" s="1">
        <v>0</v>
      </c>
      <c r="N152" s="1">
        <v>36</v>
      </c>
      <c r="O152" s="6" t="str">
        <f t="shared" si="6"/>
        <v>Low</v>
      </c>
      <c r="P152" s="15">
        <f>IF(ISBLANK(K152),AVERAGEIF(Table4[Category],I152,Table4[Sales]),K152)</f>
        <v>3616.5</v>
      </c>
      <c r="Q152" s="15">
        <f>IF(ISBLANK(N152),AVERAGEIF(Table4[Order Priority],O152,Table4[Profit]),N152)</f>
        <v>36</v>
      </c>
    </row>
    <row r="153" spans="1:17" ht="31.25" customHeight="1" x14ac:dyDescent="0.45">
      <c r="A153" s="5" t="s">
        <v>399</v>
      </c>
      <c r="B153" s="5" t="str">
        <f t="shared" si="7"/>
        <v>41712</v>
      </c>
      <c r="C153" s="1" t="s">
        <v>450</v>
      </c>
      <c r="D153" s="1" t="s">
        <v>401</v>
      </c>
      <c r="E153" s="1" t="s">
        <v>351</v>
      </c>
      <c r="F153" s="1" t="s">
        <v>561</v>
      </c>
      <c r="G153" s="1" t="s">
        <v>429</v>
      </c>
      <c r="H153" s="1" t="s">
        <v>184</v>
      </c>
      <c r="I153" s="1" t="s">
        <v>35</v>
      </c>
      <c r="J153" s="1" t="s">
        <v>180</v>
      </c>
      <c r="K153" s="1">
        <v>127.88</v>
      </c>
      <c r="L153" s="1">
        <v>2</v>
      </c>
      <c r="M153" s="1">
        <v>0</v>
      </c>
      <c r="N153" s="1">
        <v>40.921599999999998</v>
      </c>
      <c r="O153" s="6" t="str">
        <f t="shared" si="6"/>
        <v>Low</v>
      </c>
      <c r="P153" s="16">
        <f>IF(ISBLANK(K153),AVERAGEIF(Table4[Category],I153,Table4[Sales]),K153)</f>
        <v>127.88</v>
      </c>
      <c r="Q153" s="16">
        <f>IF(ISBLANK(N153),AVERAGEIF(Table4[Order Priority],O153,Table4[Profit]),N153)</f>
        <v>40.921599999999998</v>
      </c>
    </row>
    <row r="154" spans="1:17" ht="31.25" customHeight="1" x14ac:dyDescent="0.45">
      <c r="A154" s="5" t="s">
        <v>451</v>
      </c>
      <c r="B154" s="5" t="str">
        <f t="shared" si="7"/>
        <v>41709</v>
      </c>
      <c r="C154" s="2">
        <v>41946</v>
      </c>
      <c r="D154" s="1" t="s">
        <v>452</v>
      </c>
      <c r="E154" s="1" t="s">
        <v>453</v>
      </c>
      <c r="F154" s="1" t="s">
        <v>581</v>
      </c>
      <c r="G154" s="1" t="s">
        <v>17</v>
      </c>
      <c r="H154" s="1" t="s">
        <v>18</v>
      </c>
      <c r="I154" s="1" t="s">
        <v>19</v>
      </c>
      <c r="J154" s="1" t="s">
        <v>36</v>
      </c>
      <c r="K154" s="1">
        <v>2892.105</v>
      </c>
      <c r="L154" s="1">
        <v>5</v>
      </c>
      <c r="M154" s="1">
        <v>0.1</v>
      </c>
      <c r="N154" s="1">
        <v>160.60499999999999</v>
      </c>
      <c r="O154" s="6" t="str">
        <f t="shared" si="6"/>
        <v>Low</v>
      </c>
      <c r="P154" s="15">
        <f>IF(ISBLANK(K154),AVERAGEIF(Table4[Category],I154,Table4[Sales]),K154)</f>
        <v>2892.105</v>
      </c>
      <c r="Q154" s="15">
        <f>IF(ISBLANK(N154),AVERAGEIF(Table4[Order Priority],O154,Table4[Profit]),N154)</f>
        <v>160.60499999999999</v>
      </c>
    </row>
    <row r="155" spans="1:17" ht="31.25" customHeight="1" x14ac:dyDescent="0.45">
      <c r="A155" s="5" t="s">
        <v>483</v>
      </c>
      <c r="B155" s="5" t="str">
        <f t="shared" si="7"/>
        <v>41306</v>
      </c>
      <c r="C155" s="2">
        <v>41276</v>
      </c>
      <c r="D155" s="2">
        <v>41366</v>
      </c>
      <c r="E155" s="1" t="s">
        <v>195</v>
      </c>
      <c r="F155" s="1" t="s">
        <v>522</v>
      </c>
      <c r="G155" s="1" t="s">
        <v>25</v>
      </c>
      <c r="H155" s="1" t="s">
        <v>73</v>
      </c>
      <c r="I155" s="1" t="s">
        <v>19</v>
      </c>
      <c r="J155" s="1" t="s">
        <v>142</v>
      </c>
      <c r="K155" s="1">
        <v>3263.4</v>
      </c>
      <c r="L155" s="1">
        <v>5</v>
      </c>
      <c r="M155" s="1">
        <v>0</v>
      </c>
      <c r="N155" s="1">
        <v>848.4</v>
      </c>
      <c r="O155" s="6" t="str">
        <f t="shared" si="6"/>
        <v>Medium</v>
      </c>
      <c r="P155" s="15">
        <f>IF(ISBLANK(K155),AVERAGEIF(Table4[Category],I155,Table4[Sales]),K155)</f>
        <v>3263.4</v>
      </c>
      <c r="Q155" s="15">
        <f>IF(ISBLANK(N155),AVERAGEIF(Table4[Order Priority],O155,Table4[Profit]),N155)</f>
        <v>848.4</v>
      </c>
    </row>
    <row r="156" spans="1:17" ht="31.25" customHeight="1" x14ac:dyDescent="0.45">
      <c r="A156" s="5" t="s">
        <v>399</v>
      </c>
      <c r="B156" s="5" t="str">
        <f t="shared" si="7"/>
        <v>41712</v>
      </c>
      <c r="C156" s="1" t="s">
        <v>450</v>
      </c>
      <c r="D156" s="1" t="s">
        <v>401</v>
      </c>
      <c r="E156" s="1" t="s">
        <v>351</v>
      </c>
      <c r="F156" s="1" t="s">
        <v>561</v>
      </c>
      <c r="G156" s="1" t="s">
        <v>42</v>
      </c>
      <c r="H156" s="1" t="s">
        <v>184</v>
      </c>
      <c r="I156" s="1" t="s">
        <v>47</v>
      </c>
      <c r="J156" s="1" t="s">
        <v>29</v>
      </c>
      <c r="K156" s="1">
        <v>46</v>
      </c>
      <c r="L156" s="1">
        <v>4</v>
      </c>
      <c r="M156" s="1">
        <v>0</v>
      </c>
      <c r="N156" s="1">
        <v>20.7</v>
      </c>
      <c r="O156" s="6" t="str">
        <f t="shared" si="6"/>
        <v>Low</v>
      </c>
      <c r="P156" s="16">
        <f>IF(ISBLANK(K156),AVERAGEIF(Table4[Category],I156,Table4[Sales]),K156)</f>
        <v>46</v>
      </c>
      <c r="Q156" s="16">
        <f>IF(ISBLANK(N156),AVERAGEIF(Table4[Order Priority],O156,Table4[Profit]),N156)</f>
        <v>20.7</v>
      </c>
    </row>
    <row r="157" spans="1:17" ht="31.25" customHeight="1" x14ac:dyDescent="0.45">
      <c r="A157" s="5" t="s">
        <v>454</v>
      </c>
      <c r="B157" s="5" t="str">
        <f t="shared" si="7"/>
        <v>42103</v>
      </c>
      <c r="C157" s="2">
        <v>42251</v>
      </c>
      <c r="D157" s="1" t="s">
        <v>455</v>
      </c>
      <c r="E157" s="1" t="s">
        <v>456</v>
      </c>
      <c r="F157" s="1" t="s">
        <v>582</v>
      </c>
      <c r="G157" s="1" t="s">
        <v>457</v>
      </c>
      <c r="H157" s="1" t="s">
        <v>104</v>
      </c>
      <c r="I157" s="1" t="s">
        <v>35</v>
      </c>
      <c r="J157" s="1" t="s">
        <v>29</v>
      </c>
      <c r="K157" s="1">
        <v>3117.0880000000002</v>
      </c>
      <c r="L157" s="1">
        <v>13</v>
      </c>
      <c r="M157" s="1">
        <v>0.2</v>
      </c>
      <c r="N157" s="1">
        <v>38.948</v>
      </c>
      <c r="O157" s="6" t="str">
        <f t="shared" si="6"/>
        <v>Low</v>
      </c>
      <c r="P157" s="15">
        <f>IF(ISBLANK(K157),AVERAGEIF(Table4[Category],I157,Table4[Sales]),K157)</f>
        <v>3117.0880000000002</v>
      </c>
      <c r="Q157" s="15">
        <f>IF(ISBLANK(N157),AVERAGEIF(Table4[Order Priority],O157,Table4[Profit]),N157)</f>
        <v>38.948</v>
      </c>
    </row>
    <row r="158" spans="1:17" ht="31.25" customHeight="1" x14ac:dyDescent="0.45">
      <c r="A158" s="5" t="s">
        <v>458</v>
      </c>
      <c r="B158" s="5" t="str">
        <f t="shared" si="7"/>
        <v>41881</v>
      </c>
      <c r="C158" s="1" t="s">
        <v>459</v>
      </c>
      <c r="D158" s="2">
        <v>41738</v>
      </c>
      <c r="E158" s="1" t="s">
        <v>351</v>
      </c>
      <c r="F158" s="1" t="s">
        <v>561</v>
      </c>
      <c r="G158" s="1" t="s">
        <v>42</v>
      </c>
      <c r="H158" s="1" t="s">
        <v>122</v>
      </c>
      <c r="I158" s="1" t="s">
        <v>47</v>
      </c>
      <c r="J158" s="1" t="s">
        <v>180</v>
      </c>
      <c r="K158" s="1">
        <v>27.93</v>
      </c>
      <c r="L158" s="1">
        <v>3</v>
      </c>
      <c r="M158" s="1">
        <v>0</v>
      </c>
      <c r="N158" s="1">
        <v>8.0997000000000003</v>
      </c>
      <c r="O158" s="6" t="str">
        <f t="shared" si="6"/>
        <v>Low</v>
      </c>
      <c r="P158" s="15">
        <f>IF(ISBLANK(K158),AVERAGEIF(Table4[Category],I158,Table4[Sales]),K158)</f>
        <v>27.93</v>
      </c>
      <c r="Q158" s="15">
        <f>IF(ISBLANK(N158),AVERAGEIF(Table4[Order Priority],O158,Table4[Profit]),N158)</f>
        <v>8.0997000000000003</v>
      </c>
    </row>
    <row r="159" spans="1:17" ht="31.25" customHeight="1" x14ac:dyDescent="0.45">
      <c r="A159" s="5" t="s">
        <v>460</v>
      </c>
      <c r="B159" s="5" t="str">
        <f t="shared" si="7"/>
        <v>42082</v>
      </c>
      <c r="C159" s="1" t="s">
        <v>461</v>
      </c>
      <c r="D159" s="1" t="s">
        <v>462</v>
      </c>
      <c r="E159" s="1" t="s">
        <v>463</v>
      </c>
      <c r="F159" s="1" t="s">
        <v>583</v>
      </c>
      <c r="G159" s="1" t="s">
        <v>103</v>
      </c>
      <c r="H159" s="1" t="s">
        <v>104</v>
      </c>
      <c r="I159" s="1" t="s">
        <v>47</v>
      </c>
      <c r="J159" s="1" t="s">
        <v>46</v>
      </c>
      <c r="K159" s="1">
        <v>1888.7</v>
      </c>
      <c r="L159" s="1">
        <v>5</v>
      </c>
      <c r="M159" s="1">
        <v>0</v>
      </c>
      <c r="N159" s="1">
        <v>887.6</v>
      </c>
      <c r="O159" s="6" t="str">
        <f t="shared" si="6"/>
        <v>Medium</v>
      </c>
      <c r="P159" s="16">
        <f>IF(ISBLANK(K159),AVERAGEIF(Table4[Category],I159,Table4[Sales]),K159)</f>
        <v>1888.7</v>
      </c>
      <c r="Q159" s="16">
        <f>IF(ISBLANK(N159),AVERAGEIF(Table4[Order Priority],O159,Table4[Profit]),N159)</f>
        <v>887.6</v>
      </c>
    </row>
    <row r="160" spans="1:17" ht="31.25" customHeight="1" x14ac:dyDescent="0.45">
      <c r="A160" s="5" t="s">
        <v>464</v>
      </c>
      <c r="B160" s="5" t="str">
        <f t="shared" si="7"/>
        <v>41914</v>
      </c>
      <c r="C160" s="2">
        <v>41680</v>
      </c>
      <c r="D160" s="2">
        <v>41739</v>
      </c>
      <c r="E160" s="1" t="s">
        <v>465</v>
      </c>
      <c r="F160" s="1" t="s">
        <v>560</v>
      </c>
      <c r="G160" s="1" t="s">
        <v>67</v>
      </c>
      <c r="H160" s="1" t="s">
        <v>95</v>
      </c>
      <c r="I160" s="1" t="s">
        <v>47</v>
      </c>
      <c r="J160" s="1" t="s">
        <v>142</v>
      </c>
      <c r="K160" s="1">
        <v>3000.78</v>
      </c>
      <c r="L160" s="1">
        <v>6</v>
      </c>
      <c r="M160" s="1">
        <v>0</v>
      </c>
      <c r="N160" s="1">
        <v>1080.18</v>
      </c>
      <c r="O160" s="6" t="str">
        <f t="shared" si="6"/>
        <v>High</v>
      </c>
      <c r="P160" s="15">
        <f>IF(ISBLANK(K160),AVERAGEIF(Table4[Category],I160,Table4[Sales]),K160)</f>
        <v>3000.78</v>
      </c>
      <c r="Q160" s="15">
        <f>IF(ISBLANK(N160),AVERAGEIF(Table4[Order Priority],O160,Table4[Profit]),N160)</f>
        <v>1080.18</v>
      </c>
    </row>
    <row r="161" spans="1:17" ht="31.25" customHeight="1" x14ac:dyDescent="0.45">
      <c r="A161" s="5" t="s">
        <v>466</v>
      </c>
      <c r="B161" s="5" t="str">
        <f t="shared" si="7"/>
        <v>41651</v>
      </c>
      <c r="C161" s="2">
        <v>41974</v>
      </c>
      <c r="D161" s="1" t="s">
        <v>467</v>
      </c>
      <c r="E161" s="1" t="s">
        <v>478</v>
      </c>
      <c r="F161" s="1" t="s">
        <v>478</v>
      </c>
      <c r="G161" s="1" t="s">
        <v>243</v>
      </c>
      <c r="H161" s="1" t="s">
        <v>81</v>
      </c>
      <c r="I161" s="1" t="s">
        <v>47</v>
      </c>
      <c r="J161" s="1" t="s">
        <v>77</v>
      </c>
      <c r="K161" s="1">
        <v>3801.63</v>
      </c>
      <c r="L161" s="1">
        <v>7</v>
      </c>
      <c r="M161" s="1">
        <v>0</v>
      </c>
      <c r="N161" s="1">
        <v>1444.59</v>
      </c>
      <c r="O161" s="6" t="str">
        <f t="shared" si="6"/>
        <v>High</v>
      </c>
      <c r="P161" s="15">
        <f>IF(ISBLANK(K161),AVERAGEIF(Table4[Category],I161,Table4[Sales]),K161)</f>
        <v>3801.63</v>
      </c>
      <c r="Q161" s="15">
        <f>IF(ISBLANK(N161),AVERAGEIF(Table4[Order Priority],O161,Table4[Profit]),N161)</f>
        <v>1444.59</v>
      </c>
    </row>
    <row r="162" spans="1:17" ht="31.25" customHeight="1" x14ac:dyDescent="0.45">
      <c r="A162" s="5" t="s">
        <v>468</v>
      </c>
      <c r="B162" s="5" t="str">
        <f t="shared" si="7"/>
        <v>42236</v>
      </c>
      <c r="C162" s="1" t="s">
        <v>469</v>
      </c>
      <c r="D162" s="1" t="s">
        <v>470</v>
      </c>
      <c r="E162" s="1" t="s">
        <v>471</v>
      </c>
      <c r="F162" s="1" t="s">
        <v>584</v>
      </c>
      <c r="G162" s="1" t="s">
        <v>57</v>
      </c>
      <c r="H162" s="1" t="s">
        <v>58</v>
      </c>
      <c r="I162" s="1" t="s">
        <v>19</v>
      </c>
      <c r="J162" s="1" t="s">
        <v>77</v>
      </c>
      <c r="K162" s="1">
        <v>5211.12</v>
      </c>
      <c r="L162" s="1">
        <v>8</v>
      </c>
      <c r="M162" s="1">
        <v>0</v>
      </c>
      <c r="N162" s="1">
        <v>1146.24</v>
      </c>
      <c r="O162" s="6" t="str">
        <f t="shared" ref="O162:O166" si="8">IF(N162&gt;1000,"High",IF(N162&gt;=500,"Medium",IF(N162&lt;=0,"Critical","Low")))</f>
        <v>High</v>
      </c>
      <c r="P162" s="16">
        <f>IF(ISBLANK(K162),AVERAGEIF(Table4[Category],I162,Table4[Sales]),K162)</f>
        <v>5211.12</v>
      </c>
      <c r="Q162" s="16">
        <f>IF(ISBLANK(N162),AVERAGEIF(Table4[Order Priority],O162,Table4[Profit]),N162)</f>
        <v>1146.24</v>
      </c>
    </row>
    <row r="163" spans="1:17" ht="31.25" customHeight="1" x14ac:dyDescent="0.45">
      <c r="A163" s="5" t="s">
        <v>108</v>
      </c>
      <c r="B163" s="5" t="str">
        <f t="shared" si="7"/>
        <v>41259</v>
      </c>
      <c r="C163" s="1" t="s">
        <v>109</v>
      </c>
      <c r="D163" s="1" t="s">
        <v>110</v>
      </c>
      <c r="E163" s="1" t="s">
        <v>111</v>
      </c>
      <c r="F163" s="1" t="s">
        <v>506</v>
      </c>
      <c r="G163" s="1" t="s">
        <v>112</v>
      </c>
      <c r="H163" s="4" t="s">
        <v>95</v>
      </c>
      <c r="I163" s="1" t="s">
        <v>19</v>
      </c>
      <c r="J163" s="1" t="s">
        <v>77</v>
      </c>
      <c r="K163" s="1">
        <v>1356.03</v>
      </c>
      <c r="L163" s="1">
        <v>3</v>
      </c>
      <c r="M163" s="1">
        <v>0</v>
      </c>
      <c r="N163" s="1">
        <v>311.85000000000002</v>
      </c>
      <c r="O163" s="6" t="str">
        <f t="shared" si="8"/>
        <v>Low</v>
      </c>
      <c r="P163" s="15">
        <f>IF(ISBLANK(K163),AVERAGEIF(Table4[Category],I163,Table4[Sales]),K163)</f>
        <v>1356.03</v>
      </c>
      <c r="Q163" s="15">
        <f>IF(ISBLANK(N163),AVERAGEIF(Table4[Order Priority],O163,Table4[Profit]),N163)</f>
        <v>311.85000000000002</v>
      </c>
    </row>
    <row r="164" spans="1:17" ht="31.25" customHeight="1" x14ac:dyDescent="0.45">
      <c r="A164" s="5" t="s">
        <v>472</v>
      </c>
      <c r="B164" s="5" t="str">
        <f t="shared" si="7"/>
        <v>42077</v>
      </c>
      <c r="C164" s="1" t="s">
        <v>473</v>
      </c>
      <c r="D164" s="1" t="s">
        <v>394</v>
      </c>
      <c r="E164" s="1" t="s">
        <v>474</v>
      </c>
      <c r="F164" s="1" t="s">
        <v>585</v>
      </c>
      <c r="G164" s="1" t="s">
        <v>17</v>
      </c>
      <c r="H164" s="1" t="s">
        <v>18</v>
      </c>
      <c r="I164" s="1" t="s">
        <v>47</v>
      </c>
      <c r="J164" s="1" t="s">
        <v>29</v>
      </c>
      <c r="K164" s="1"/>
      <c r="L164" s="1">
        <v>7</v>
      </c>
      <c r="M164" s="1">
        <v>0.1</v>
      </c>
      <c r="N164" s="1">
        <v>674.16300000000001</v>
      </c>
      <c r="O164" s="6" t="str">
        <f t="shared" si="8"/>
        <v>Medium</v>
      </c>
      <c r="P164" s="15">
        <f>IF(ISBLANK(K164),AVERAGEIF(Table4[Category],I164,Table4[Sales]),K164)</f>
        <v>1621.4477189189192</v>
      </c>
      <c r="Q164" s="15">
        <f>IF(ISBLANK(N164),AVERAGEIF(Table4[Order Priority],O164,Table4[Profit]),N164)</f>
        <v>674.16300000000001</v>
      </c>
    </row>
    <row r="165" spans="1:17" ht="31.25" customHeight="1" x14ac:dyDescent="0.45">
      <c r="A165" s="5" t="s">
        <v>475</v>
      </c>
      <c r="B165" s="5" t="str">
        <f t="shared" si="7"/>
        <v>41535</v>
      </c>
      <c r="C165" s="1" t="s">
        <v>298</v>
      </c>
      <c r="D165" s="1" t="s">
        <v>476</v>
      </c>
      <c r="E165" s="1" t="s">
        <v>351</v>
      </c>
      <c r="F165" s="1" t="s">
        <v>561</v>
      </c>
      <c r="G165" s="1" t="s">
        <v>42</v>
      </c>
      <c r="H165" s="1" t="s">
        <v>45</v>
      </c>
      <c r="I165" s="1" t="s">
        <v>47</v>
      </c>
      <c r="J165" s="1" t="s">
        <v>46</v>
      </c>
      <c r="K165" s="1">
        <v>18.54</v>
      </c>
      <c r="L165" s="1">
        <v>2</v>
      </c>
      <c r="M165" s="1">
        <v>0</v>
      </c>
      <c r="N165" s="1">
        <v>8.7138000000000009</v>
      </c>
      <c r="O165" s="6" t="str">
        <f t="shared" si="8"/>
        <v>Low</v>
      </c>
      <c r="P165" s="16">
        <f>IF(ISBLANK(K165),AVERAGEIF(Table4[Category],I165,Table4[Sales]),K165)</f>
        <v>18.54</v>
      </c>
      <c r="Q165" s="16">
        <f>IF(ISBLANK(N165),AVERAGEIF(Table4[Order Priority],O165,Table4[Profit]),N165)</f>
        <v>8.7138000000000009</v>
      </c>
    </row>
    <row r="166" spans="1:17" ht="31.25" customHeight="1" x14ac:dyDescent="0.45">
      <c r="A166" s="7" t="s">
        <v>482</v>
      </c>
      <c r="B166" s="5" t="str">
        <f t="shared" si="7"/>
        <v>42194</v>
      </c>
      <c r="C166" s="10">
        <v>42254</v>
      </c>
      <c r="D166" s="8" t="s">
        <v>477</v>
      </c>
      <c r="E166" s="1" t="s">
        <v>478</v>
      </c>
      <c r="F166" s="8" t="s">
        <v>478</v>
      </c>
      <c r="G166" s="8" t="s">
        <v>163</v>
      </c>
      <c r="H166" s="8" t="s">
        <v>164</v>
      </c>
      <c r="I166" s="8" t="s">
        <v>35</v>
      </c>
      <c r="J166" s="8" t="s">
        <v>77</v>
      </c>
      <c r="K166" s="8">
        <v>2910.0816</v>
      </c>
      <c r="L166" s="8">
        <v>8</v>
      </c>
      <c r="M166" s="8">
        <v>7.0000000000000007E-2</v>
      </c>
      <c r="N166" s="8">
        <v>125.1216</v>
      </c>
      <c r="O166" s="6" t="str">
        <f t="shared" si="8"/>
        <v>Low</v>
      </c>
      <c r="P166" s="15">
        <f>IF(ISBLANK(K166),AVERAGEIF(Table4[Category],I166,Table4[Sales]),K166)</f>
        <v>2910.0816</v>
      </c>
      <c r="Q166" s="15">
        <f>IF(ISBLANK(N166),AVERAGEIF(Table4[Order Priority],O166,Table4[Profit]),N166)</f>
        <v>125.1216</v>
      </c>
    </row>
  </sheetData>
  <mergeCells count="4">
    <mergeCell ref="S4:U4"/>
    <mergeCell ref="S5:U5"/>
    <mergeCell ref="S6:U6"/>
    <mergeCell ref="S7:U7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EAA50-0F16-4C30-85BD-F34A241DA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</dc:creator>
  <cp:lastModifiedBy>siva prakasam</cp:lastModifiedBy>
  <dcterms:created xsi:type="dcterms:W3CDTF">2025-10-16T03:35:34Z</dcterms:created>
  <dcterms:modified xsi:type="dcterms:W3CDTF">2025-11-01T06:22:01Z</dcterms:modified>
</cp:coreProperties>
</file>