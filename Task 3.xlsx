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0" documentId="8_{B0F6B1CC-1C6B-44E6-968F-33E5DF2B675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y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" i="3" l="1"/>
  <c r="P10" i="3"/>
  <c r="P8" i="3"/>
  <c r="P7" i="3"/>
  <c r="P6" i="3"/>
  <c r="P5" i="3"/>
</calcChain>
</file>

<file path=xl/sharedStrings.xml><?xml version="1.0" encoding="utf-8"?>
<sst xmlns="http://schemas.openxmlformats.org/spreadsheetml/2006/main" count="1338" uniqueCount="505">
  <si>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</si>
  <si>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</si>
  <si>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</si>
  <si>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</si>
  <si>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</si>
  <si>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</si>
  <si>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</si>
  <si>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</si>
  <si>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</si>
  <si>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</si>
  <si>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</si>
  <si>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</si>
  <si>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</si>
  <si>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</si>
  <si>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</si>
  <si>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</si>
  <si>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</si>
  <si>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</si>
  <si>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</si>
  <si>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</si>
  <si>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</si>
  <si>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</si>
  <si>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</si>
  <si>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</si>
  <si>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</si>
  <si>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</si>
  <si>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</si>
  <si>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</si>
  <si>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</si>
  <si>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</si>
  <si>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</si>
  <si>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</si>
  <si>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</si>
  <si>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</si>
  <si>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</si>
  <si>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</si>
  <si>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</si>
  <si>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</si>
  <si>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</si>
  <si>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</si>
  <si>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</si>
  <si>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</si>
  <si>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</si>
  <si>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</si>
  <si>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</si>
  <si>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</si>
  <si>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</si>
  <si>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</si>
  <si>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</si>
  <si>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</si>
  <si>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</si>
  <si>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</si>
  <si>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</si>
  <si>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</si>
  <si>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</si>
  <si>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</si>
  <si>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</si>
  <si>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</si>
  <si>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</si>
  <si>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</si>
  <si>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</si>
  <si>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</si>
  <si>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</si>
  <si>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</si>
  <si>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</si>
  <si>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</si>
  <si>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</si>
  <si>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</si>
  <si>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</si>
  <si>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</si>
  <si>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</si>
  <si>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</si>
  <si>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</si>
  <si>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</si>
  <si>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</si>
  <si>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</si>
  <si>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</si>
  <si>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</si>
  <si>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</si>
  <si>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</si>
  <si>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</si>
  <si>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</si>
  <si>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</si>
  <si>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</si>
  <si>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</si>
  <si>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Low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</si>
  <si>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</si>
  <si>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</si>
  <si>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</si>
  <si>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</si>
  <si>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</si>
  <si>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</si>
  <si>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</si>
  <si>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</si>
  <si>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</si>
  <si>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</si>
  <si>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</si>
  <si>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</si>
  <si>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</si>
  <si>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</si>
  <si>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</si>
  <si>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</si>
  <si>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</si>
  <si>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</si>
  <si>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</si>
  <si>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</si>
  <si>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</si>
  <si>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</si>
  <si>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</si>
  <si>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</si>
  <si>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</si>
  <si>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</si>
  <si>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</si>
  <si>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</si>
  <si>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</si>
  <si>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</si>
  <si>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</si>
  <si>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</si>
  <si>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</si>
  <si>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</si>
  <si>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</si>
  <si>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</si>
  <si>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</si>
  <si>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</si>
  <si>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</si>
  <si>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</si>
  <si>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</si>
  <si>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</si>
  <si>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</si>
  <si>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</si>
  <si>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</si>
  <si>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</si>
  <si>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</si>
  <si>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</si>
  <si>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</si>
  <si>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</si>
  <si>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</si>
  <si>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</si>
  <si>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</si>
  <si>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</si>
  <si>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</si>
  <si>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</si>
  <si>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</si>
  <si>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</si>
  <si>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</si>
  <si>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</si>
  <si>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</si>
  <si>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</si>
  <si>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</si>
  <si>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</si>
  <si>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</si>
  <si>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</si>
  <si>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</si>
  <si>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</si>
  <si>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</si>
  <si>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</si>
  <si>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</si>
  <si>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</si>
  <si>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</si>
  <si>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</si>
  <si>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</si>
  <si>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</si>
  <si>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</si>
  <si>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</si>
  <si>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</si>
  <si>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</si>
  <si>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</si>
  <si>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</si>
  <si>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</si>
  <si>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</si>
  <si>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</si>
  <si>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</si>
  <si>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</si>
  <si>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</si>
  <si>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</si>
  <si>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</si>
  <si>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</si>
  <si>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</si>
  <si>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</si>
  <si>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</si>
  <si>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</si>
  <si>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</si>
  <si>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</si>
  <si>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</si>
  <si>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</si>
  <si>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</si>
  <si>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</si>
  <si>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</si>
  <si>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</si>
  <si>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</si>
  <si>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</si>
  <si>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</si>
  <si>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</si>
  <si>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</si>
  <si>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</si>
  <si>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</si>
  <si>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</si>
  <si>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</si>
  <si>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</si>
  <si>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</si>
  <si>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</si>
  <si>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</si>
  <si>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</si>
  <si>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</si>
  <si>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</si>
  <si>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missing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</si>
  <si>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</si>
  <si>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</si>
  <si>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</si>
  <si>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</si>
  <si>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</si>
  <si>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</si>
  <si>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</si>
  <si>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</si>
  <si>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</si>
  <si>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</si>
  <si>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</si>
  <si>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</si>
  <si>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</si>
  <si>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</si>
  <si>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</si>
  <si>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</si>
  <si>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</si>
  <si>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</si>
  <si>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</si>
  <si>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</si>
  <si>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</si>
  <si>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</si>
  <si>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</si>
  <si>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</si>
  <si>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</si>
  <si>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</si>
  <si>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</si>
  <si>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</si>
  <si>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</si>
  <si>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</si>
  <si>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</si>
  <si>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</si>
  <si>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</si>
  <si>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</si>
  <si>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</si>
  <si>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</si>
  <si>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</si>
  <si>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</si>
  <si>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</si>
  <si>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</si>
  <si>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</si>
  <si>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</si>
  <si>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</si>
  <si>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</si>
  <si>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</si>
  <si>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</si>
  <si>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</si>
  <si>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</si>
  <si>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</si>
  <si>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</si>
  <si>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</si>
  <si>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</si>
  <si>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</si>
  <si>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</si>
  <si>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</si>
  <si>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</si>
  <si>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</si>
  <si>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</si>
  <si>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</si>
  <si>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</si>
  <si>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</si>
  <si>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</si>
  <si>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</si>
  <si>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</si>
  <si>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121.94000000000001unknown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</si>
  <si>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</si>
  <si>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</si>
  <si>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</si>
  <si>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</si>
  <si>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</si>
  <si>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</si>
  <si>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</si>
  <si>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</si>
  <si>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</si>
  <si>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</si>
  <si>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</si>
  <si>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</si>
  <si>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</si>
  <si>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</si>
  <si>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</si>
  <si>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Critiacl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</si>
  <si>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</si>
  <si>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</si>
  <si>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</si>
  <si>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</si>
  <si>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</si>
  <si>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</si>
  <si>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</si>
  <si>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</si>
  <si>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</si>
  <si>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</si>
  <si>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</si>
  <si>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</si>
  <si>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</si>
  <si>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</si>
  <si>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</si>
  <si>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</si>
  <si>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</si>
  <si>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</si>
  <si>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</si>
  <si>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</si>
  <si>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</si>
  <si>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</si>
  <si>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</si>
  <si>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</si>
  <si>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</si>
  <si>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</si>
  <si>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</si>
  <si>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</si>
  <si>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</si>
  <si>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</si>
  <si>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</si>
  <si>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</si>
  <si>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</si>
  <si>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</si>
  <si>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</si>
  <si>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</si>
  <si>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</si>
  <si>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</si>
  <si>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</si>
  <si>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</si>
  <si>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</si>
  <si>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</si>
  <si>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</si>
  <si>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</si>
  <si>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</si>
  <si>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</si>
  <si>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</si>
  <si>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</si>
  <si>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</si>
  <si>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</si>
  <si>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</si>
  <si>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</si>
  <si>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</si>
  <si>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</si>
  <si>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</si>
  <si>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</si>
  <si>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</si>
  <si>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</si>
  <si>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</si>
  <si>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</si>
  <si>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</si>
  <si>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</si>
  <si>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</si>
  <si>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</si>
  <si>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</si>
  <si>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</si>
  <si>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861.372unknown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</si>
  <si>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</si>
  <si>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</si>
  <si>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</si>
  <si>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</si>
  <si>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</si>
  <si>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</si>
  <si>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</si>
  <si>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</si>
  <si>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</si>
  <si>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</si>
  <si>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</si>
  <si>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</si>
  <si>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</si>
  <si>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</si>
  <si>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</si>
  <si>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</si>
  <si>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</si>
  <si>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</si>
  <si>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</si>
  <si>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</si>
  <si>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</si>
  <si>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</si>
  <si>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</si>
  <si>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</si>
  <si>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</si>
  <si>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</si>
  <si>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</si>
  <si>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</si>
  <si>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</si>
  <si>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</si>
  <si>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</si>
  <si>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</si>
  <si>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</si>
  <si>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</si>
  <si>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</si>
  <si>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</si>
  <si>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</si>
  <si>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</si>
  <si>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</si>
  <si>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</si>
  <si>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</si>
  <si>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</si>
  <si>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</si>
  <si>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</si>
  <si>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</si>
  <si>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</si>
  <si>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</si>
  <si>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</si>
  <si>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</si>
  <si>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</si>
  <si>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</si>
  <si>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</si>
  <si>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</si>
  <si>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</si>
  <si>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</si>
  <si>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</si>
  <si>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</si>
  <si>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</si>
  <si>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</si>
  <si>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</si>
  <si>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</si>
  <si>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</si>
  <si>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</si>
  <si>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</si>
  <si>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</si>
  <si>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</si>
  <si>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</si>
  <si>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</si>
  <si>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</si>
  <si>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</si>
  <si>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</si>
  <si>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</si>
  <si>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</si>
  <si>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</si>
  <si>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</si>
  <si>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</si>
  <si>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</si>
  <si>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</si>
  <si>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</si>
  <si>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</si>
  <si>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</si>
  <si>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</si>
  <si>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</si>
  <si>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</si>
  <si>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</si>
  <si>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</si>
  <si>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</si>
  <si>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</si>
  <si>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</si>
  <si>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</si>
  <si>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</si>
  <si>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</si>
  <si>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</si>
  <si>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</si>
  <si>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</si>
  <si>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</si>
  <si>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</si>
  <si>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</si>
  <si>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</si>
  <si>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</si>
  <si>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</si>
  <si>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</si>
  <si>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</si>
  <si>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</si>
  <si>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</si>
  <si>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</si>
  <si>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</si>
  <si>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</si>
  <si>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</si>
  <si>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-1784.895unknown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</si>
  <si>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</si>
  <si>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</si>
  <si>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</si>
  <si>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</si>
  <si>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</si>
  <si>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</si>
  <si>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</si>
  <si>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ES-2013-JH1582048-41306#</t>
  </si>
  <si>
    <t>High#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</si>
  <si>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</si>
  <si>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</si>
  <si>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</si>
  <si>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</si>
  <si>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</si>
  <si>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</si>
  <si>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</si>
  <si>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</si>
  <si>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</si>
  <si>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</si>
  <si>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</si>
  <si>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</si>
  <si>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</si>
  <si>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</si>
  <si>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</si>
  <si>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</si>
  <si>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</si>
  <si>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</si>
  <si>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</si>
  <si>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</si>
  <si>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</si>
  <si>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</si>
  <si>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</si>
  <si>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ID-2015-HG1502559-42194#</t>
  </si>
  <si>
    <t>7/13/15 0:00</t>
  </si>
  <si>
    <t>Day 3 Task</t>
  </si>
  <si>
    <t>Average of sales</t>
  </si>
  <si>
    <t>Sum of sales</t>
  </si>
  <si>
    <t>Min of profit</t>
  </si>
  <si>
    <t>Max of Profit</t>
  </si>
  <si>
    <t>No of Column</t>
  </si>
  <si>
    <t>No of numeric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</si>
</sst>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u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2" fontId="2" fillId="0" borderId="8" xfId="0" applyNumberFormat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Accent2" xfId="1" builtinId="3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M166" totalsRowShown="0" headerRowDxfId="17" dataDxfId="15" headerRowBorderDxfId="16" tableBorderDxfId="14" totalsRowBorderDxfId="13" headerRowCellStyle="Accent2">
  <autoFilter ref="A1:M166" xr:uid="{00000000-0009-0000-0100-000004000000}"/>
  <tableColumns count="13">
    <tableColumn id="1" xr3:uid="{00000000-0010-0000-0000-000001000000}" name="Order ID" dataDxfId="12"/>
    <tableColumn id="2" xr3:uid="{00000000-0010-0000-0000-000002000000}" name="Order Date" dataDxfId="11"/>
    <tableColumn id="3" xr3:uid="{00000000-0010-0000-0000-000003000000}" name="Ship Date" dataDxfId="10"/>
    <tableColumn id="4" xr3:uid="{00000000-0010-0000-0000-000004000000}" name="Customer Name" dataDxfId="9"/>
    <tableColumn id="5" xr3:uid="{00000000-0010-0000-0000-000005000000}" name="Country" dataDxfId="8"/>
    <tableColumn id="6" xr3:uid="{00000000-0010-0000-0000-000006000000}" name="Region" dataDxfId="7"/>
    <tableColumn id="7" xr3:uid="{00000000-0010-0000-0000-000007000000}" name="Category" dataDxfId="6"/>
    <tableColumn id="8" xr3:uid="{00000000-0010-0000-0000-000008000000}" name="Sub-Category" dataDxfId="5"/>
    <tableColumn id="9" xr3:uid="{00000000-0010-0000-0000-000009000000}" name="Sales" dataDxfId="4"/>
    <tableColumn id="10" xr3:uid="{00000000-0010-0000-0000-00000A000000}" name="Quantity" dataDxfId="3"/>
    <tableColumn id="11" xr3:uid="{00000000-0010-0000-0000-00000B000000}" name="Discount" dataDxfId="2"/>
    <tableColumn id="12" xr3:uid="{00000000-0010-0000-0000-00000C000000}" name="Profit" dataDxfId="1"/>
    <tableColumn id="13" xr3:uid="{00000000-0010-0000-0000-00000D000000}" name="Order Priority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topLeftCell="G1" zoomScaleNormal="100" workbookViewId="0">
      <selection activeCell="P10" sqref="P10"/>
    </sheetView>
  </sheetViews>
  <sheetFormatPr defaultRowHeight="31.25" customHeight="1" x14ac:dyDescent="0.45"/>
  <cols>
    <col min="1" max="1" width="22.73046875" customWidth="1"/>
    <col min="2" max="2" width="17.53125" customWidth="1"/>
    <col min="3" max="3" width="16.06640625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0.86328125" bestFit="1" customWidth="1"/>
    <col min="10" max="10" width="12.06640625" customWidth="1"/>
    <col min="11" max="11" width="11.9296875" bestFit="1" customWidth="1"/>
    <col min="12" max="12" width="12.59765625" customWidth="1"/>
    <col min="13" max="13" width="14.6640625" customWidth="1"/>
    <col min="15" max="15" width="21.265625" customWidth="1"/>
    <col min="16" max="16" width="11.19921875" customWidth="1"/>
  </cols>
  <sheetData>
    <row r="1" spans="1:17" ht="31.25" customHeight="1" x14ac:dyDescent="0.4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</row>
    <row r="2" spans="1:17" ht="31.25" customHeight="1" x14ac:dyDescent="0.45">
      <c r="A2" s="5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5175.1710000000003</v>
      </c>
      <c r="J2" s="1">
        <v>9</v>
      </c>
      <c r="K2" s="1">
        <v>0.1</v>
      </c>
      <c r="L2" s="1">
        <v>919.971</v>
      </c>
      <c r="M2" s="6" t="s">
        <v>21</v>
      </c>
    </row>
    <row r="3" spans="1:17" ht="31.25" customHeight="1" x14ac:dyDescent="0.45">
      <c r="A3" s="5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/>
      <c r="G3" s="1" t="s">
        <v>19</v>
      </c>
      <c r="H3" s="1" t="s">
        <v>27</v>
      </c>
      <c r="I3" s="1">
        <v>2892.51</v>
      </c>
      <c r="J3" s="1">
        <v>5</v>
      </c>
      <c r="K3" s="1">
        <v>0.1</v>
      </c>
      <c r="L3" s="1">
        <v>-96.54</v>
      </c>
      <c r="M3" s="6"/>
    </row>
    <row r="4" spans="1:17" ht="31.25" customHeight="1" x14ac:dyDescent="0.45">
      <c r="A4" s="5"/>
      <c r="B4" s="2">
        <v>41770</v>
      </c>
      <c r="C4" s="2">
        <v>41801</v>
      </c>
      <c r="D4" s="4" t="s">
        <v>28</v>
      </c>
      <c r="E4" s="1"/>
      <c r="F4" s="1" t="s">
        <v>29</v>
      </c>
      <c r="G4" s="1" t="s">
        <v>19</v>
      </c>
      <c r="H4" s="1" t="s">
        <v>30</v>
      </c>
      <c r="I4" s="1">
        <v>2832.96</v>
      </c>
      <c r="J4" s="1">
        <v>8</v>
      </c>
      <c r="K4" s="1">
        <v>0</v>
      </c>
      <c r="L4" s="1">
        <v>311.52</v>
      </c>
      <c r="M4" s="6" t="s">
        <v>31</v>
      </c>
      <c r="O4" s="15" t="s">
        <v>498</v>
      </c>
      <c r="P4" s="16"/>
      <c r="Q4" s="17"/>
    </row>
    <row r="5" spans="1:17" ht="31.25" customHeight="1" x14ac:dyDescent="0.45">
      <c r="A5" s="5" t="s">
        <v>32</v>
      </c>
      <c r="B5" s="1" t="s">
        <v>33</v>
      </c>
      <c r="C5" s="2">
        <v>41646</v>
      </c>
      <c r="D5" s="1" t="s">
        <v>34</v>
      </c>
      <c r="E5" s="1" t="s">
        <v>17</v>
      </c>
      <c r="F5" s="1" t="s">
        <v>18</v>
      </c>
      <c r="G5" s="1" t="s">
        <v>19</v>
      </c>
      <c r="H5" s="1" t="s">
        <v>30</v>
      </c>
      <c r="I5" s="1">
        <v>2862.6750000000002</v>
      </c>
      <c r="J5" s="1">
        <v>5</v>
      </c>
      <c r="K5" s="1">
        <v>0.1</v>
      </c>
      <c r="L5" s="1">
        <v>763.27499999999998</v>
      </c>
      <c r="M5" s="6" t="s">
        <v>31</v>
      </c>
      <c r="O5" s="4" t="s">
        <v>499</v>
      </c>
      <c r="P5" s="4">
        <f>AVERAGE(Table4[Sales])</f>
        <v>2226.7646265771809</v>
      </c>
      <c r="Q5" s="4"/>
    </row>
    <row r="6" spans="1:17" ht="31.25" customHeight="1" x14ac:dyDescent="0.45">
      <c r="A6" s="5"/>
      <c r="B6" s="2">
        <v>41071</v>
      </c>
      <c r="C6" s="2">
        <v>41132</v>
      </c>
      <c r="D6" s="1" t="s">
        <v>35</v>
      </c>
      <c r="E6" s="1" t="s">
        <v>36</v>
      </c>
      <c r="F6" s="1" t="s">
        <v>18</v>
      </c>
      <c r="G6" s="1" t="s">
        <v>37</v>
      </c>
      <c r="H6" s="1" t="s">
        <v>38</v>
      </c>
      <c r="I6" s="1">
        <v>1822.08</v>
      </c>
      <c r="J6" s="1">
        <v>4</v>
      </c>
      <c r="K6" s="1">
        <v>0</v>
      </c>
      <c r="L6" s="1">
        <v>564.84</v>
      </c>
      <c r="M6" s="6" t="s">
        <v>31</v>
      </c>
      <c r="O6" s="4" t="s">
        <v>500</v>
      </c>
      <c r="P6" s="4">
        <f>SUM(Table4[Sales])</f>
        <v>331787.92935999995</v>
      </c>
      <c r="Q6" s="4"/>
    </row>
    <row r="7" spans="1:17" ht="31.25" customHeight="1" x14ac:dyDescent="0.45">
      <c r="A7" s="5" t="s">
        <v>39</v>
      </c>
      <c r="B7" s="1"/>
      <c r="C7" s="1"/>
      <c r="D7" s="1" t="s">
        <v>40</v>
      </c>
      <c r="E7" s="1" t="s">
        <v>36</v>
      </c>
      <c r="F7" s="1" t="s">
        <v>18</v>
      </c>
      <c r="G7" s="1" t="s">
        <v>37</v>
      </c>
      <c r="H7" s="1" t="s">
        <v>30</v>
      </c>
      <c r="I7" s="1">
        <v>5244.84</v>
      </c>
      <c r="J7" s="1" t="s">
        <v>41</v>
      </c>
      <c r="K7" s="1">
        <v>0</v>
      </c>
      <c r="L7" s="1">
        <v>996.48</v>
      </c>
      <c r="M7" s="6" t="s">
        <v>42</v>
      </c>
      <c r="O7" s="4" t="s">
        <v>501</v>
      </c>
      <c r="P7" s="4">
        <f>MIN(Table4[Profit])</f>
        <v>-2211.165</v>
      </c>
      <c r="Q7" s="4"/>
    </row>
    <row r="8" spans="1:17" ht="31.25" customHeight="1" x14ac:dyDescent="0.45">
      <c r="A8" s="5" t="s">
        <v>43</v>
      </c>
      <c r="B8" s="2">
        <v>41954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37</v>
      </c>
      <c r="H8" s="1" t="s">
        <v>27</v>
      </c>
      <c r="I8" s="1">
        <v>341.96</v>
      </c>
      <c r="J8" s="1">
        <v>2</v>
      </c>
      <c r="K8" s="1">
        <v>0</v>
      </c>
      <c r="L8" s="1">
        <v>54.7136</v>
      </c>
      <c r="M8" s="6" t="s">
        <v>42</v>
      </c>
      <c r="O8" s="4" t="s">
        <v>502</v>
      </c>
      <c r="P8" s="4">
        <f>MAX(Table4[Profit])</f>
        <v>3979.08</v>
      </c>
      <c r="Q8" s="4"/>
    </row>
    <row r="9" spans="1:17" ht="31.25" customHeight="1" x14ac:dyDescent="0.45">
      <c r="A9" s="5" t="s">
        <v>48</v>
      </c>
      <c r="B9" s="2">
        <v>41063</v>
      </c>
      <c r="C9" s="2">
        <v>41093</v>
      </c>
      <c r="D9" s="1" t="s">
        <v>45</v>
      </c>
      <c r="E9" s="1" t="s">
        <v>46</v>
      </c>
      <c r="F9" s="1" t="s">
        <v>49</v>
      </c>
      <c r="G9" s="1" t="s">
        <v>37</v>
      </c>
      <c r="H9" s="1" t="s">
        <v>50</v>
      </c>
      <c r="I9" s="1">
        <v>48.712000000000003</v>
      </c>
      <c r="J9" s="1">
        <v>1</v>
      </c>
      <c r="K9" s="1"/>
      <c r="L9" s="1">
        <v>5.4801000000000002</v>
      </c>
      <c r="M9" s="6" t="s">
        <v>42</v>
      </c>
      <c r="O9" s="4" t="s">
        <v>503</v>
      </c>
      <c r="P9" s="4">
        <f>COUNTA(Table4[#Headers])</f>
        <v>13</v>
      </c>
      <c r="Q9" s="4"/>
    </row>
    <row r="10" spans="1:17" ht="31.25" customHeight="1" x14ac:dyDescent="0.45">
      <c r="A10" s="5" t="s">
        <v>48</v>
      </c>
      <c r="B10" s="2">
        <v>41063</v>
      </c>
      <c r="C10" s="2">
        <v>41093</v>
      </c>
      <c r="D10" s="4" t="s">
        <v>45</v>
      </c>
      <c r="E10" s="1"/>
      <c r="F10" s="1" t="s">
        <v>49</v>
      </c>
      <c r="G10" s="1" t="s">
        <v>51</v>
      </c>
      <c r="H10" s="1" t="s">
        <v>52</v>
      </c>
      <c r="I10" s="1" t="s">
        <v>53</v>
      </c>
      <c r="J10" s="1">
        <v>3</v>
      </c>
      <c r="K10" s="1">
        <v>0</v>
      </c>
      <c r="L10" s="1">
        <v>26.647123529999998</v>
      </c>
      <c r="M10" s="6" t="s">
        <v>42</v>
      </c>
      <c r="O10" s="4" t="s">
        <v>504</v>
      </c>
      <c r="P10" s="4">
        <f>COUNT(A2:M2)</f>
        <v>4</v>
      </c>
      <c r="Q10" s="4"/>
    </row>
    <row r="11" spans="1:17" ht="31.25" customHeight="1" x14ac:dyDescent="0.45">
      <c r="A11" s="5" t="s">
        <v>54</v>
      </c>
      <c r="B11" s="1" t="s">
        <v>55</v>
      </c>
      <c r="C11" s="3">
        <v>41386</v>
      </c>
      <c r="D11" s="1" t="s">
        <v>56</v>
      </c>
      <c r="E11" s="1" t="s">
        <v>57</v>
      </c>
      <c r="F11" s="1" t="s">
        <v>58</v>
      </c>
      <c r="G11" s="1" t="s">
        <v>37</v>
      </c>
      <c r="H11" s="1" t="s">
        <v>50</v>
      </c>
      <c r="I11" s="1">
        <v>4626.1499999999996</v>
      </c>
      <c r="J11" s="1">
        <v>5</v>
      </c>
      <c r="K11" s="1">
        <v>0</v>
      </c>
      <c r="L11" s="1"/>
      <c r="M11" s="6" t="s">
        <v>42</v>
      </c>
    </row>
    <row r="12" spans="1:17" ht="31.25" customHeight="1" x14ac:dyDescent="0.45">
      <c r="A12" s="5" t="s">
        <v>59</v>
      </c>
      <c r="B12" s="1" t="s">
        <v>60</v>
      </c>
      <c r="C12" s="1"/>
      <c r="D12" s="1" t="s">
        <v>61</v>
      </c>
      <c r="E12" s="1" t="s">
        <v>62</v>
      </c>
      <c r="F12" s="1" t="s">
        <v>63</v>
      </c>
      <c r="G12" s="1" t="s">
        <v>19</v>
      </c>
      <c r="H12" s="1" t="s">
        <v>64</v>
      </c>
      <c r="I12" s="1">
        <v>2616.96</v>
      </c>
      <c r="J12" s="1">
        <v>4</v>
      </c>
      <c r="K12" s="1">
        <v>0</v>
      </c>
      <c r="L12" s="1">
        <v>1151.4000000000001</v>
      </c>
      <c r="M12" s="6" t="s">
        <v>31</v>
      </c>
    </row>
    <row r="13" spans="1:17" ht="31.25" customHeight="1" x14ac:dyDescent="0.45">
      <c r="A13" s="5" t="s">
        <v>65</v>
      </c>
      <c r="B13" s="1" t="s">
        <v>66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37</v>
      </c>
      <c r="H13" s="1" t="s">
        <v>50</v>
      </c>
      <c r="I13" s="1" t="s">
        <v>70</v>
      </c>
      <c r="J13" s="1" t="s">
        <v>71</v>
      </c>
      <c r="K13" s="1">
        <v>0</v>
      </c>
      <c r="L13" s="1">
        <v>622.02</v>
      </c>
      <c r="M13" s="6" t="s">
        <v>31</v>
      </c>
    </row>
    <row r="14" spans="1:17" ht="31.25" customHeight="1" x14ac:dyDescent="0.45">
      <c r="A14" s="5" t="s">
        <v>72</v>
      </c>
      <c r="B14" s="2">
        <v>41796</v>
      </c>
      <c r="C14" s="2">
        <v>41857</v>
      </c>
      <c r="D14" s="1" t="s">
        <v>73</v>
      </c>
      <c r="E14" s="1" t="s">
        <v>74</v>
      </c>
      <c r="F14" s="1" t="s">
        <v>75</v>
      </c>
      <c r="G14" s="1" t="s">
        <v>51</v>
      </c>
      <c r="H14" s="1" t="s">
        <v>30</v>
      </c>
      <c r="I14" s="1">
        <v>3701.52</v>
      </c>
      <c r="J14" s="1">
        <v>12</v>
      </c>
      <c r="K14" s="1">
        <v>0</v>
      </c>
      <c r="L14" s="1">
        <v>1036.08</v>
      </c>
      <c r="M14" s="6" t="s">
        <v>31</v>
      </c>
    </row>
    <row r="15" spans="1:17" ht="31.25" customHeight="1" x14ac:dyDescent="0.45">
      <c r="A15" s="5" t="s">
        <v>76</v>
      </c>
      <c r="B15" s="1" t="s">
        <v>77</v>
      </c>
      <c r="C15" s="2">
        <v>42071</v>
      </c>
      <c r="D15" s="1" t="s">
        <v>78</v>
      </c>
      <c r="E15" s="1" t="s">
        <v>79</v>
      </c>
      <c r="F15" s="1" t="s">
        <v>80</v>
      </c>
      <c r="G15" s="1" t="s">
        <v>51</v>
      </c>
      <c r="H15" s="1" t="s">
        <v>27</v>
      </c>
      <c r="I15" s="1">
        <v>1869.588</v>
      </c>
      <c r="J15" s="1">
        <v>4</v>
      </c>
      <c r="K15" s="1">
        <v>0.1</v>
      </c>
      <c r="L15" s="1"/>
      <c r="M15" s="6" t="s">
        <v>31</v>
      </c>
    </row>
    <row r="16" spans="1:17" ht="31.25" customHeight="1" x14ac:dyDescent="0.45">
      <c r="A16" s="5" t="s">
        <v>81</v>
      </c>
      <c r="B16" s="1" t="s">
        <v>82</v>
      </c>
      <c r="C16" s="1" t="s">
        <v>83</v>
      </c>
      <c r="D16" s="1" t="s">
        <v>45</v>
      </c>
      <c r="E16" s="1" t="s">
        <v>46</v>
      </c>
      <c r="F16" s="1" t="s">
        <v>47</v>
      </c>
      <c r="G16" s="1" t="s">
        <v>51</v>
      </c>
      <c r="H16" s="1" t="s">
        <v>84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6" t="s">
        <v>85</v>
      </c>
    </row>
    <row r="17" spans="1:13" ht="31.25" customHeight="1" x14ac:dyDescent="0.45">
      <c r="A17" s="5" t="s">
        <v>86</v>
      </c>
      <c r="B17" s="2">
        <v>42225</v>
      </c>
      <c r="C17" s="1" t="s">
        <v>87</v>
      </c>
      <c r="D17" s="1"/>
      <c r="E17" s="1" t="s">
        <v>88</v>
      </c>
      <c r="F17" s="1" t="s">
        <v>89</v>
      </c>
      <c r="G17" s="1" t="s">
        <v>51</v>
      </c>
      <c r="H17" s="1" t="s">
        <v>84</v>
      </c>
      <c r="I17" s="1" t="s">
        <v>90</v>
      </c>
      <c r="J17" s="1">
        <v>14</v>
      </c>
      <c r="K17" s="1">
        <v>0</v>
      </c>
      <c r="L17" s="1">
        <v>3979.08</v>
      </c>
      <c r="M17" s="6" t="s">
        <v>85</v>
      </c>
    </row>
    <row r="18" spans="1:13" ht="31.25" customHeight="1" x14ac:dyDescent="0.45">
      <c r="A18" s="5" t="s">
        <v>91</v>
      </c>
      <c r="B18" s="1" t="s">
        <v>92</v>
      </c>
      <c r="C18" s="2">
        <v>42006</v>
      </c>
      <c r="D18" s="1" t="s">
        <v>93</v>
      </c>
      <c r="E18" s="1" t="s">
        <v>17</v>
      </c>
      <c r="F18" s="1" t="s">
        <v>18</v>
      </c>
      <c r="G18" s="1"/>
      <c r="H18" s="1" t="s">
        <v>20</v>
      </c>
      <c r="I18" s="1">
        <v>2565.5940000000001</v>
      </c>
      <c r="J18" s="1">
        <v>9</v>
      </c>
      <c r="K18" s="1"/>
      <c r="L18" s="1"/>
      <c r="M18" s="6" t="s">
        <v>31</v>
      </c>
    </row>
    <row r="19" spans="1:13" ht="31.25" customHeight="1" x14ac:dyDescent="0.45">
      <c r="A19" s="5" t="s">
        <v>94</v>
      </c>
      <c r="B19" s="2">
        <v>42136</v>
      </c>
      <c r="C19" s="2">
        <v>42197</v>
      </c>
      <c r="D19" s="1" t="s">
        <v>95</v>
      </c>
      <c r="E19" s="1" t="s">
        <v>96</v>
      </c>
      <c r="F19" s="1" t="s">
        <v>97</v>
      </c>
      <c r="G19" s="1" t="s">
        <v>51</v>
      </c>
      <c r="H19" s="1" t="s">
        <v>84</v>
      </c>
      <c r="I19" s="1">
        <v>3409.74</v>
      </c>
      <c r="J19" s="1">
        <v>6</v>
      </c>
      <c r="K19" s="1">
        <v>0</v>
      </c>
      <c r="L19" s="1">
        <v>818.28</v>
      </c>
      <c r="M19" s="6" t="s">
        <v>42</v>
      </c>
    </row>
    <row r="20" spans="1:13" ht="31.25" customHeight="1" x14ac:dyDescent="0.45">
      <c r="A20" s="5" t="s">
        <v>98</v>
      </c>
      <c r="B20" s="2">
        <v>41494</v>
      </c>
      <c r="C20" s="2">
        <v>41555</v>
      </c>
      <c r="D20" s="4" t="s">
        <v>99</v>
      </c>
      <c r="E20" s="1"/>
      <c r="F20" s="1" t="s">
        <v>100</v>
      </c>
      <c r="G20" s="1" t="s">
        <v>37</v>
      </c>
      <c r="H20" s="1" t="s">
        <v>38</v>
      </c>
      <c r="I20" s="1">
        <v>1977.72</v>
      </c>
      <c r="J20" s="1">
        <v>4</v>
      </c>
      <c r="K20" s="1">
        <v>0</v>
      </c>
      <c r="L20" s="1">
        <v>276.83999999999997</v>
      </c>
      <c r="M20" s="6" t="s">
        <v>31</v>
      </c>
    </row>
    <row r="21" spans="1:13" ht="31.25" customHeight="1" x14ac:dyDescent="0.45">
      <c r="A21" s="5" t="s">
        <v>48</v>
      </c>
      <c r="B21" s="2">
        <v>41063</v>
      </c>
      <c r="C21" s="2">
        <v>41093</v>
      </c>
      <c r="D21" s="1" t="s">
        <v>45</v>
      </c>
      <c r="E21" s="1" t="s">
        <v>46</v>
      </c>
      <c r="F21" s="1" t="s">
        <v>49</v>
      </c>
      <c r="G21" s="1" t="s">
        <v>51</v>
      </c>
      <c r="H21" s="1" t="s">
        <v>84</v>
      </c>
      <c r="I21" s="1">
        <v>242.94</v>
      </c>
      <c r="J21" s="1">
        <v>3</v>
      </c>
      <c r="K21" s="1">
        <v>0</v>
      </c>
      <c r="L21" s="1">
        <v>4.8587999999999996</v>
      </c>
      <c r="M21" s="6" t="s">
        <v>42</v>
      </c>
    </row>
    <row r="22" spans="1:13" ht="31.25" customHeight="1" x14ac:dyDescent="0.45">
      <c r="A22" s="5" t="s">
        <v>101</v>
      </c>
      <c r="B22" s="2">
        <v>40913</v>
      </c>
      <c r="C22" s="2">
        <v>40944</v>
      </c>
      <c r="D22" s="1" t="s">
        <v>102</v>
      </c>
      <c r="E22" s="1" t="s">
        <v>74</v>
      </c>
      <c r="F22" s="1" t="s">
        <v>103</v>
      </c>
      <c r="G22" s="1" t="s">
        <v>37</v>
      </c>
      <c r="H22" s="1" t="s">
        <v>50</v>
      </c>
      <c r="I22" s="1">
        <v>2754</v>
      </c>
      <c r="J22" s="1">
        <v>6</v>
      </c>
      <c r="K22" s="1">
        <v>0</v>
      </c>
      <c r="L22" s="1">
        <v>358.02</v>
      </c>
      <c r="M22" s="6" t="s">
        <v>31</v>
      </c>
    </row>
    <row r="23" spans="1:13" ht="31.25" customHeight="1" x14ac:dyDescent="0.45">
      <c r="A23" s="5" t="s">
        <v>104</v>
      </c>
      <c r="B23" s="1" t="s">
        <v>105</v>
      </c>
      <c r="C23" s="2">
        <v>41642</v>
      </c>
      <c r="D23" s="1" t="s">
        <v>106</v>
      </c>
      <c r="E23" s="1" t="s">
        <v>107</v>
      </c>
      <c r="F23" s="1" t="s">
        <v>108</v>
      </c>
      <c r="G23" s="1" t="s">
        <v>51</v>
      </c>
      <c r="H23" s="1" t="s">
        <v>30</v>
      </c>
      <c r="I23" s="1">
        <v>5273.7</v>
      </c>
      <c r="J23" s="1">
        <v>10</v>
      </c>
      <c r="K23" s="1"/>
      <c r="L23" s="1">
        <v>1898.4</v>
      </c>
      <c r="M23" s="6" t="s">
        <v>42</v>
      </c>
    </row>
    <row r="24" spans="1:13" ht="31.25" customHeight="1" x14ac:dyDescent="0.45">
      <c r="A24" s="5" t="s">
        <v>109</v>
      </c>
      <c r="B24" s="1" t="s">
        <v>77</v>
      </c>
      <c r="C24" s="2">
        <v>42012</v>
      </c>
      <c r="D24" s="1" t="s">
        <v>110</v>
      </c>
      <c r="E24" s="1" t="s">
        <v>111</v>
      </c>
      <c r="F24" s="1" t="s">
        <v>112</v>
      </c>
      <c r="G24" s="1" t="s">
        <v>19</v>
      </c>
      <c r="H24" s="1" t="s">
        <v>27</v>
      </c>
      <c r="I24" s="1">
        <v>1713.84</v>
      </c>
      <c r="J24" s="1">
        <v>4</v>
      </c>
      <c r="K24" s="1">
        <v>0</v>
      </c>
      <c r="L24" s="1">
        <v>445.52</v>
      </c>
      <c r="M24" s="6" t="s">
        <v>31</v>
      </c>
    </row>
    <row r="25" spans="1:13" ht="31.25" customHeight="1" x14ac:dyDescent="0.45">
      <c r="A25" s="5" t="s">
        <v>113</v>
      </c>
      <c r="B25" s="2">
        <v>42133</v>
      </c>
      <c r="C25" s="2">
        <v>42225</v>
      </c>
      <c r="D25" s="1" t="s">
        <v>114</v>
      </c>
      <c r="E25" s="1" t="s">
        <v>115</v>
      </c>
      <c r="F25" s="1" t="s">
        <v>112</v>
      </c>
      <c r="G25" s="1" t="s">
        <v>37</v>
      </c>
      <c r="H25" s="1" t="s">
        <v>84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6" t="s">
        <v>31</v>
      </c>
    </row>
    <row r="26" spans="1:13" ht="31.25" customHeight="1" x14ac:dyDescent="0.45">
      <c r="A26" s="5" t="s">
        <v>116</v>
      </c>
      <c r="B26" s="1" t="s">
        <v>117</v>
      </c>
      <c r="C26" s="1" t="s">
        <v>118</v>
      </c>
      <c r="D26" s="1" t="s">
        <v>119</v>
      </c>
      <c r="E26" s="1" t="s">
        <v>120</v>
      </c>
      <c r="F26" s="1" t="s">
        <v>103</v>
      </c>
      <c r="G26" s="1" t="s">
        <v>37</v>
      </c>
      <c r="H26" s="1" t="s">
        <v>30</v>
      </c>
      <c r="I26" s="1">
        <v>1715.16</v>
      </c>
      <c r="J26" s="1"/>
      <c r="K26" s="1">
        <v>0</v>
      </c>
      <c r="L26" s="1">
        <v>720.36</v>
      </c>
      <c r="M26" s="6" t="s">
        <v>31</v>
      </c>
    </row>
    <row r="27" spans="1:13" ht="31.25" customHeight="1" x14ac:dyDescent="0.45">
      <c r="A27" s="10" t="s">
        <v>121</v>
      </c>
      <c r="B27" s="1"/>
      <c r="C27" s="1" t="s">
        <v>122</v>
      </c>
      <c r="D27" s="1" t="s">
        <v>123</v>
      </c>
      <c r="E27" s="1" t="s">
        <v>26</v>
      </c>
      <c r="F27" s="1" t="s">
        <v>124</v>
      </c>
      <c r="G27" s="1" t="s">
        <v>125</v>
      </c>
      <c r="H27" s="1" t="s">
        <v>50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6" t="s">
        <v>31</v>
      </c>
    </row>
    <row r="28" spans="1:13" ht="31.25" customHeight="1" x14ac:dyDescent="0.45">
      <c r="A28" s="5" t="s">
        <v>126</v>
      </c>
      <c r="B28" s="1" t="s">
        <v>127</v>
      </c>
      <c r="C28" s="1" t="s">
        <v>128</v>
      </c>
      <c r="D28" s="1" t="s">
        <v>129</v>
      </c>
      <c r="E28" s="1" t="s">
        <v>46</v>
      </c>
      <c r="F28" s="1" t="s">
        <v>130</v>
      </c>
      <c r="G28" s="1" t="s">
        <v>51</v>
      </c>
      <c r="H28" s="1" t="s">
        <v>50</v>
      </c>
      <c r="I28" s="1">
        <v>247.84</v>
      </c>
      <c r="J28" s="1">
        <v>8</v>
      </c>
      <c r="K28" s="1">
        <v>0</v>
      </c>
      <c r="L28" s="1">
        <v>121.44159999999999</v>
      </c>
      <c r="M28" s="6" t="s">
        <v>31</v>
      </c>
    </row>
    <row r="29" spans="1:13" ht="31.25" customHeight="1" x14ac:dyDescent="0.45">
      <c r="A29" s="5" t="s">
        <v>131</v>
      </c>
      <c r="B29" s="1" t="s">
        <v>132</v>
      </c>
      <c r="C29" s="1" t="s">
        <v>132</v>
      </c>
      <c r="D29" s="1" t="s">
        <v>133</v>
      </c>
      <c r="E29" s="1" t="s">
        <v>134</v>
      </c>
      <c r="F29" s="1" t="s">
        <v>58</v>
      </c>
      <c r="G29" s="1" t="s">
        <v>37</v>
      </c>
      <c r="H29" s="1" t="s">
        <v>84</v>
      </c>
      <c r="I29" s="1">
        <v>1878.72</v>
      </c>
      <c r="J29" s="1">
        <v>4</v>
      </c>
      <c r="K29" s="1"/>
      <c r="L29" s="1">
        <v>582.36</v>
      </c>
      <c r="M29" s="6" t="s">
        <v>31</v>
      </c>
    </row>
    <row r="30" spans="1:13" ht="31.25" customHeight="1" x14ac:dyDescent="0.45">
      <c r="A30" s="5" t="s">
        <v>135</v>
      </c>
      <c r="B30" s="1" t="s">
        <v>136</v>
      </c>
      <c r="C30" s="3">
        <v>41272</v>
      </c>
      <c r="D30" s="1" t="s">
        <v>137</v>
      </c>
      <c r="E30" s="1" t="s">
        <v>138</v>
      </c>
      <c r="F30" s="1" t="s">
        <v>139</v>
      </c>
      <c r="G30" s="1" t="s">
        <v>19</v>
      </c>
      <c r="H30" s="1" t="s">
        <v>30</v>
      </c>
      <c r="I30" s="1">
        <v>1696.64</v>
      </c>
      <c r="J30" s="1">
        <v>5</v>
      </c>
      <c r="K30" s="1"/>
      <c r="L30" s="1">
        <v>-148.46</v>
      </c>
      <c r="M30" s="6" t="s">
        <v>31</v>
      </c>
    </row>
    <row r="31" spans="1:13" ht="31.25" customHeight="1" x14ac:dyDescent="0.45">
      <c r="A31" s="5" t="s">
        <v>140</v>
      </c>
      <c r="B31" s="1" t="s">
        <v>141</v>
      </c>
      <c r="C31" s="1" t="s">
        <v>142</v>
      </c>
      <c r="D31" s="1" t="s">
        <v>143</v>
      </c>
      <c r="E31" s="1" t="s">
        <v>79</v>
      </c>
      <c r="F31" s="1" t="s">
        <v>80</v>
      </c>
      <c r="G31" s="1" t="s">
        <v>19</v>
      </c>
      <c r="H31" s="1" t="s">
        <v>27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6" t="s">
        <v>31</v>
      </c>
    </row>
    <row r="32" spans="1:13" ht="31.25" customHeight="1" x14ac:dyDescent="0.45">
      <c r="A32" s="5" t="s">
        <v>144</v>
      </c>
      <c r="B32" s="1" t="s">
        <v>145</v>
      </c>
      <c r="C32" s="1" t="s">
        <v>146</v>
      </c>
      <c r="D32" s="1" t="s">
        <v>129</v>
      </c>
      <c r="E32" s="1" t="s">
        <v>46</v>
      </c>
      <c r="F32" s="1" t="s">
        <v>49</v>
      </c>
      <c r="G32" s="1" t="s">
        <v>19</v>
      </c>
      <c r="H32" s="1" t="s">
        <v>30</v>
      </c>
      <c r="I32" s="1">
        <v>668.16</v>
      </c>
      <c r="J32" s="1">
        <v>9</v>
      </c>
      <c r="K32" s="1">
        <v>0.2</v>
      </c>
      <c r="L32" s="1">
        <v>75.168000000000006</v>
      </c>
      <c r="M32" s="6" t="s">
        <v>21</v>
      </c>
    </row>
    <row r="33" spans="1:13" ht="31.25" customHeight="1" x14ac:dyDescent="0.45">
      <c r="A33" s="5" t="s">
        <v>147</v>
      </c>
      <c r="B33" s="1" t="s">
        <v>148</v>
      </c>
      <c r="C33" s="2">
        <v>41010</v>
      </c>
      <c r="D33" s="1" t="s">
        <v>149</v>
      </c>
      <c r="E33" s="1" t="s">
        <v>17</v>
      </c>
      <c r="F33" s="1" t="s">
        <v>18</v>
      </c>
      <c r="G33" s="1" t="s">
        <v>51</v>
      </c>
      <c r="H33" s="1" t="s">
        <v>150</v>
      </c>
      <c r="I33" s="1">
        <v>2526.9299999999998</v>
      </c>
      <c r="J33" s="1">
        <v>5</v>
      </c>
      <c r="K33" s="1">
        <v>0.1</v>
      </c>
      <c r="L33" s="1">
        <v>561.48</v>
      </c>
      <c r="M33" s="6" t="s">
        <v>31</v>
      </c>
    </row>
    <row r="34" spans="1:13" ht="31.25" customHeight="1" x14ac:dyDescent="0.45">
      <c r="A34" s="5" t="s">
        <v>151</v>
      </c>
      <c r="B34" s="1" t="s">
        <v>145</v>
      </c>
      <c r="C34" s="1" t="s">
        <v>146</v>
      </c>
      <c r="D34" s="1" t="s">
        <v>129</v>
      </c>
      <c r="E34" s="1" t="s">
        <v>46</v>
      </c>
      <c r="F34" s="1" t="s">
        <v>49</v>
      </c>
      <c r="G34" s="1" t="s">
        <v>51</v>
      </c>
      <c r="H34" s="1" t="s">
        <v>27</v>
      </c>
      <c r="I34" s="1">
        <v>323.10000000000002</v>
      </c>
      <c r="J34" s="1">
        <v>2</v>
      </c>
      <c r="K34" s="1">
        <v>0</v>
      </c>
      <c r="L34" s="1">
        <v>61.389000000000003</v>
      </c>
      <c r="M34" s="6" t="s">
        <v>21</v>
      </c>
    </row>
    <row r="35" spans="1:13" ht="31.25" customHeight="1" x14ac:dyDescent="0.45">
      <c r="A35" s="5" t="s">
        <v>152</v>
      </c>
      <c r="B35" s="1" t="s">
        <v>153</v>
      </c>
      <c r="C35" s="1" t="s">
        <v>154</v>
      </c>
      <c r="D35" s="1" t="s">
        <v>129</v>
      </c>
      <c r="E35" s="1" t="s">
        <v>155</v>
      </c>
      <c r="F35" s="1" t="s">
        <v>156</v>
      </c>
      <c r="G35" s="1" t="s">
        <v>157</v>
      </c>
      <c r="H35" s="1" t="s">
        <v>84</v>
      </c>
      <c r="I35" s="1">
        <v>3817.26</v>
      </c>
      <c r="J35" s="1">
        <v>6</v>
      </c>
      <c r="K35" s="1">
        <v>0</v>
      </c>
      <c r="L35" s="1">
        <v>1068.6600000000001</v>
      </c>
      <c r="M35" s="6" t="s">
        <v>42</v>
      </c>
    </row>
    <row r="36" spans="1:13" ht="31.25" customHeight="1" x14ac:dyDescent="0.45">
      <c r="A36" s="5" t="s">
        <v>158</v>
      </c>
      <c r="B36" s="2">
        <v>41248</v>
      </c>
      <c r="C36" s="3">
        <v>41047</v>
      </c>
      <c r="D36" s="1" t="s">
        <v>129</v>
      </c>
      <c r="E36" s="1" t="s">
        <v>46</v>
      </c>
      <c r="F36" s="1" t="s">
        <v>49</v>
      </c>
      <c r="G36" s="1" t="s">
        <v>37</v>
      </c>
      <c r="H36" s="1" t="s">
        <v>50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6" t="s">
        <v>21</v>
      </c>
    </row>
    <row r="37" spans="1:13" ht="31.25" customHeight="1" x14ac:dyDescent="0.45">
      <c r="A37" s="5" t="s">
        <v>159</v>
      </c>
      <c r="B37" s="1" t="s">
        <v>160</v>
      </c>
      <c r="C37" s="1" t="s">
        <v>161</v>
      </c>
      <c r="D37" s="1"/>
      <c r="E37" s="1" t="s">
        <v>46</v>
      </c>
      <c r="F37" s="1" t="s">
        <v>130</v>
      </c>
      <c r="G37" s="1" t="s">
        <v>19</v>
      </c>
      <c r="H37" s="1" t="s">
        <v>30</v>
      </c>
      <c r="I37" s="1">
        <v>34.770000000000003</v>
      </c>
      <c r="J37" s="1">
        <v>3</v>
      </c>
      <c r="K37" s="1">
        <v>0</v>
      </c>
      <c r="L37" s="1">
        <v>11.4741</v>
      </c>
      <c r="M37" s="6" t="s">
        <v>42</v>
      </c>
    </row>
    <row r="38" spans="1:13" ht="31.25" customHeight="1" x14ac:dyDescent="0.45">
      <c r="A38" s="5" t="s">
        <v>162</v>
      </c>
      <c r="B38" s="1" t="s">
        <v>163</v>
      </c>
      <c r="C38" s="1" t="s">
        <v>164</v>
      </c>
      <c r="D38" s="1"/>
      <c r="E38" s="1" t="s">
        <v>107</v>
      </c>
      <c r="F38" s="1" t="s">
        <v>108</v>
      </c>
      <c r="G38" s="1" t="s">
        <v>19</v>
      </c>
      <c r="H38" s="1" t="s">
        <v>150</v>
      </c>
      <c r="I38" s="1">
        <v>4141.0200000000004</v>
      </c>
      <c r="J38" s="1">
        <v>13</v>
      </c>
      <c r="K38" s="1">
        <v>0</v>
      </c>
      <c r="L38" s="1">
        <v>1697.67</v>
      </c>
      <c r="M38" s="6" t="s">
        <v>42</v>
      </c>
    </row>
    <row r="39" spans="1:13" ht="31.25" customHeight="1" x14ac:dyDescent="0.45">
      <c r="A39" s="5" t="s">
        <v>165</v>
      </c>
      <c r="B39" s="2">
        <v>41183</v>
      </c>
      <c r="C39" s="2">
        <v>40919</v>
      </c>
      <c r="D39" s="1" t="s">
        <v>166</v>
      </c>
      <c r="E39" s="1" t="s">
        <v>17</v>
      </c>
      <c r="F39" s="1" t="s">
        <v>18</v>
      </c>
      <c r="G39" s="1" t="s">
        <v>19</v>
      </c>
      <c r="H39" s="1" t="s">
        <v>150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6" t="s">
        <v>21</v>
      </c>
    </row>
    <row r="40" spans="1:13" ht="31.25" customHeight="1" x14ac:dyDescent="0.45">
      <c r="A40" s="5" t="s">
        <v>167</v>
      </c>
      <c r="B40" s="1" t="s">
        <v>168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19</v>
      </c>
      <c r="H40" s="1" t="s">
        <v>38</v>
      </c>
      <c r="I40" s="1">
        <v>3200.5962</v>
      </c>
      <c r="J40" s="1">
        <v>6</v>
      </c>
      <c r="K40" s="1">
        <v>0.17</v>
      </c>
      <c r="L40" s="1">
        <v>-77.203800000000001</v>
      </c>
      <c r="M40" s="6" t="s">
        <v>42</v>
      </c>
    </row>
    <row r="41" spans="1:13" ht="31.25" customHeight="1" x14ac:dyDescent="0.45">
      <c r="A41" s="5" t="s">
        <v>173</v>
      </c>
      <c r="B41" s="2">
        <v>42319</v>
      </c>
      <c r="C41" s="1" t="s">
        <v>174</v>
      </c>
      <c r="D41" s="1" t="s">
        <v>175</v>
      </c>
      <c r="E41" s="1" t="s">
        <v>134</v>
      </c>
      <c r="F41" s="1" t="s">
        <v>58</v>
      </c>
      <c r="G41" s="1" t="s">
        <v>19</v>
      </c>
      <c r="H41" s="1" t="s">
        <v>30</v>
      </c>
      <c r="I41" s="1">
        <v>4518.78</v>
      </c>
      <c r="J41" s="1">
        <v>7</v>
      </c>
      <c r="K41" s="1">
        <v>0</v>
      </c>
      <c r="L41" s="1">
        <v>632.52</v>
      </c>
      <c r="M41" s="6" t="s">
        <v>42</v>
      </c>
    </row>
    <row r="42" spans="1:13" ht="31.25" customHeight="1" x14ac:dyDescent="0.45">
      <c r="A42" s="5" t="s">
        <v>176</v>
      </c>
      <c r="B42" s="1" t="s">
        <v>177</v>
      </c>
      <c r="C42" s="1" t="s">
        <v>178</v>
      </c>
      <c r="D42" s="1" t="s">
        <v>179</v>
      </c>
      <c r="E42" s="1" t="s">
        <v>134</v>
      </c>
      <c r="F42" s="1" t="s">
        <v>58</v>
      </c>
      <c r="G42" s="1" t="s">
        <v>37</v>
      </c>
      <c r="H42" s="1" t="s">
        <v>30</v>
      </c>
      <c r="I42" s="1">
        <v>5667.87</v>
      </c>
      <c r="J42" s="1">
        <v>13</v>
      </c>
      <c r="K42" s="1">
        <v>0</v>
      </c>
      <c r="L42" s="1">
        <v>2097.0300000000002</v>
      </c>
      <c r="M42" s="6" t="s">
        <v>21</v>
      </c>
    </row>
    <row r="43" spans="1:13" ht="31.25" customHeight="1" x14ac:dyDescent="0.45">
      <c r="A43" s="5" t="s">
        <v>180</v>
      </c>
      <c r="B43" s="1" t="s">
        <v>181</v>
      </c>
      <c r="C43" s="1" t="s">
        <v>182</v>
      </c>
      <c r="D43" s="1" t="s">
        <v>183</v>
      </c>
      <c r="E43" s="1" t="s">
        <v>107</v>
      </c>
      <c r="F43" s="1" t="s">
        <v>108</v>
      </c>
      <c r="G43" s="1" t="s">
        <v>19</v>
      </c>
      <c r="H43" s="1" t="s">
        <v>30</v>
      </c>
      <c r="I43" s="1">
        <v>5785.02</v>
      </c>
      <c r="J43" s="1">
        <v>9</v>
      </c>
      <c r="K43" s="1">
        <v>0</v>
      </c>
      <c r="L43" s="1">
        <v>404.73</v>
      </c>
      <c r="M43" s="6" t="s">
        <v>42</v>
      </c>
    </row>
    <row r="44" spans="1:13" ht="31.25" customHeight="1" x14ac:dyDescent="0.45">
      <c r="A44" s="5" t="s">
        <v>184</v>
      </c>
      <c r="B44" s="1" t="s">
        <v>185</v>
      </c>
      <c r="C44" s="1" t="s">
        <v>186</v>
      </c>
      <c r="D44" s="1" t="s">
        <v>187</v>
      </c>
      <c r="E44" s="1" t="s">
        <v>26</v>
      </c>
      <c r="F44" s="1" t="s">
        <v>80</v>
      </c>
      <c r="G44" s="1" t="s">
        <v>51</v>
      </c>
      <c r="H44" s="1" t="s">
        <v>188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6" t="s">
        <v>31</v>
      </c>
    </row>
    <row r="45" spans="1:13" ht="31.25" customHeight="1" x14ac:dyDescent="0.45">
      <c r="A45" s="5" t="s">
        <v>189</v>
      </c>
      <c r="B45" s="1" t="s">
        <v>190</v>
      </c>
      <c r="C45" s="1" t="s">
        <v>191</v>
      </c>
      <c r="D45" s="1"/>
      <c r="E45" s="1" t="s">
        <v>46</v>
      </c>
      <c r="F45" s="1" t="s">
        <v>192</v>
      </c>
      <c r="G45" s="1" t="s">
        <v>37</v>
      </c>
      <c r="H45" s="1" t="s">
        <v>30</v>
      </c>
      <c r="I45" s="1">
        <v>86.45</v>
      </c>
      <c r="J45" s="1">
        <v>7</v>
      </c>
      <c r="K45" s="1">
        <v>0</v>
      </c>
      <c r="L45" s="1"/>
      <c r="M45" s="6" t="s">
        <v>21</v>
      </c>
    </row>
    <row r="46" spans="1:13" ht="31.25" customHeight="1" x14ac:dyDescent="0.45">
      <c r="A46" s="5" t="s">
        <v>193</v>
      </c>
      <c r="B46" s="2">
        <v>41854</v>
      </c>
      <c r="C46" s="2">
        <v>41706</v>
      </c>
      <c r="D46" s="1" t="s">
        <v>194</v>
      </c>
      <c r="E46" s="1" t="s">
        <v>79</v>
      </c>
      <c r="F46" s="1" t="s">
        <v>80</v>
      </c>
      <c r="G46" s="1" t="s">
        <v>37</v>
      </c>
      <c r="H46" s="1" t="s">
        <v>84</v>
      </c>
      <c r="I46" s="1">
        <v>2092.5</v>
      </c>
      <c r="J46" s="1">
        <v>5</v>
      </c>
      <c r="K46" s="1">
        <v>0.1</v>
      </c>
      <c r="L46" s="1">
        <v>720.75</v>
      </c>
      <c r="M46" s="6" t="s">
        <v>31</v>
      </c>
    </row>
    <row r="47" spans="1:13" ht="31.25" customHeight="1" x14ac:dyDescent="0.45">
      <c r="A47" s="5" t="s">
        <v>195</v>
      </c>
      <c r="B47" s="1" t="s">
        <v>196</v>
      </c>
      <c r="C47" s="1" t="s">
        <v>197</v>
      </c>
      <c r="D47" s="1" t="s">
        <v>198</v>
      </c>
      <c r="E47" s="1" t="s">
        <v>74</v>
      </c>
      <c r="F47" s="1" t="s">
        <v>103</v>
      </c>
      <c r="G47" s="1" t="s">
        <v>37</v>
      </c>
      <c r="H47" s="1" t="s">
        <v>52</v>
      </c>
      <c r="I47" s="1">
        <v>2761.2</v>
      </c>
      <c r="J47" s="1">
        <v>6</v>
      </c>
      <c r="K47" s="1">
        <v>0</v>
      </c>
      <c r="L47" s="1">
        <v>110.34</v>
      </c>
      <c r="M47" s="6" t="s">
        <v>42</v>
      </c>
    </row>
    <row r="48" spans="1:13" ht="31.25" customHeight="1" x14ac:dyDescent="0.45">
      <c r="A48" s="5" t="s">
        <v>199</v>
      </c>
      <c r="B48" s="2">
        <v>42009</v>
      </c>
      <c r="C48" s="2">
        <v>42009</v>
      </c>
      <c r="D48" s="1" t="s">
        <v>200</v>
      </c>
      <c r="E48" s="1" t="s">
        <v>134</v>
      </c>
      <c r="F48" s="1" t="s">
        <v>58</v>
      </c>
      <c r="G48" s="1" t="s">
        <v>19</v>
      </c>
      <c r="H48" s="1" t="s">
        <v>27</v>
      </c>
      <c r="I48" s="1">
        <v>2174.13</v>
      </c>
      <c r="J48" s="1">
        <v>7</v>
      </c>
      <c r="K48" s="1"/>
      <c r="L48" s="1">
        <v>500.01</v>
      </c>
      <c r="M48" s="6" t="s">
        <v>31</v>
      </c>
    </row>
    <row r="49" spans="1:13" ht="31.25" customHeight="1" x14ac:dyDescent="0.45">
      <c r="A49" s="5" t="s">
        <v>201</v>
      </c>
      <c r="B49" s="1" t="s">
        <v>148</v>
      </c>
      <c r="C49" s="1" t="s">
        <v>202</v>
      </c>
      <c r="D49" s="1" t="s">
        <v>203</v>
      </c>
      <c r="E49" s="1" t="s">
        <v>204</v>
      </c>
      <c r="F49" s="1" t="s">
        <v>69</v>
      </c>
      <c r="G49" s="1" t="s">
        <v>37</v>
      </c>
      <c r="H49" s="1" t="s">
        <v>27</v>
      </c>
      <c r="I49" s="1" t="s">
        <v>205</v>
      </c>
      <c r="J49" s="1">
        <v>11</v>
      </c>
      <c r="K49" s="1">
        <v>0</v>
      </c>
      <c r="L49" s="1">
        <v>868.12</v>
      </c>
      <c r="M49" s="6" t="s">
        <v>42</v>
      </c>
    </row>
    <row r="50" spans="1:13" ht="31.25" customHeight="1" x14ac:dyDescent="0.45">
      <c r="A50" s="5" t="s">
        <v>206</v>
      </c>
      <c r="B50" s="1" t="s">
        <v>207</v>
      </c>
      <c r="C50" s="1" t="s">
        <v>208</v>
      </c>
      <c r="D50" s="1" t="s">
        <v>129</v>
      </c>
      <c r="E50" s="1" t="s">
        <v>46</v>
      </c>
      <c r="F50" s="1" t="s">
        <v>49</v>
      </c>
      <c r="G50" s="1" t="s">
        <v>209</v>
      </c>
      <c r="H50" s="1" t="s">
        <v>150</v>
      </c>
      <c r="I50" s="1">
        <v>49.408000000000001</v>
      </c>
      <c r="J50" s="1">
        <v>4</v>
      </c>
      <c r="K50" s="1">
        <v>0.2</v>
      </c>
      <c r="L50" s="1"/>
      <c r="M50" s="6" t="s">
        <v>42</v>
      </c>
    </row>
    <row r="51" spans="1:13" ht="31.25" customHeight="1" x14ac:dyDescent="0.45">
      <c r="A51" s="5" t="s">
        <v>210</v>
      </c>
      <c r="B51" s="1" t="s">
        <v>211</v>
      </c>
      <c r="C51" s="1" t="s">
        <v>212</v>
      </c>
      <c r="D51" s="1" t="s">
        <v>213</v>
      </c>
      <c r="E51" s="1" t="s">
        <v>214</v>
      </c>
      <c r="F51" s="1" t="s">
        <v>215</v>
      </c>
      <c r="G51" s="1" t="s">
        <v>19</v>
      </c>
      <c r="H51" s="1" t="s">
        <v>27</v>
      </c>
      <c r="I51" s="1">
        <v>2108.64</v>
      </c>
      <c r="J51" s="1">
        <v>8</v>
      </c>
      <c r="K51" s="1">
        <v>0</v>
      </c>
      <c r="L51" s="1">
        <v>527.04</v>
      </c>
      <c r="M51" s="6" t="s">
        <v>31</v>
      </c>
    </row>
    <row r="52" spans="1:13" ht="31.25" customHeight="1" x14ac:dyDescent="0.45">
      <c r="A52" s="5" t="s">
        <v>159</v>
      </c>
      <c r="B52" s="1" t="s">
        <v>160</v>
      </c>
      <c r="C52" s="1" t="s">
        <v>161</v>
      </c>
      <c r="D52" s="1" t="s">
        <v>129</v>
      </c>
      <c r="E52" s="1" t="s">
        <v>46</v>
      </c>
      <c r="F52" s="1" t="s">
        <v>130</v>
      </c>
      <c r="G52" s="1" t="s">
        <v>51</v>
      </c>
      <c r="H52" s="1" t="s">
        <v>52</v>
      </c>
      <c r="I52" s="1"/>
      <c r="J52" s="1">
        <v>3</v>
      </c>
      <c r="K52" s="1">
        <v>0</v>
      </c>
      <c r="L52" s="1">
        <v>8.6940000000000008</v>
      </c>
      <c r="M52" s="6" t="s">
        <v>42</v>
      </c>
    </row>
    <row r="53" spans="1:13" ht="31.25" customHeight="1" x14ac:dyDescent="0.45">
      <c r="A53" s="5" t="s">
        <v>116</v>
      </c>
      <c r="B53" s="3">
        <v>41259</v>
      </c>
      <c r="C53" s="1" t="s">
        <v>118</v>
      </c>
      <c r="D53" s="1" t="s">
        <v>119</v>
      </c>
      <c r="E53" s="1" t="s">
        <v>120</v>
      </c>
      <c r="F53" s="1" t="s">
        <v>103</v>
      </c>
      <c r="G53" s="1" t="s">
        <v>37</v>
      </c>
      <c r="H53" s="1" t="s">
        <v>38</v>
      </c>
      <c r="I53" s="1"/>
      <c r="J53" s="1">
        <v>5</v>
      </c>
      <c r="K53" s="1">
        <v>0</v>
      </c>
      <c r="L53" s="1"/>
      <c r="M53" s="6" t="s">
        <v>31</v>
      </c>
    </row>
    <row r="54" spans="1:13" ht="31.25" customHeight="1" x14ac:dyDescent="0.45">
      <c r="A54" s="5" t="s">
        <v>216</v>
      </c>
      <c r="B54" s="1" t="s">
        <v>217</v>
      </c>
      <c r="C54" s="1" t="s">
        <v>217</v>
      </c>
      <c r="D54" s="1" t="s">
        <v>218</v>
      </c>
      <c r="E54" s="1" t="s">
        <v>219</v>
      </c>
      <c r="F54" s="1" t="s">
        <v>97</v>
      </c>
      <c r="G54" s="1" t="s">
        <v>19</v>
      </c>
      <c r="H54" s="1" t="s">
        <v>38</v>
      </c>
      <c r="I54" s="1">
        <v>2582.16</v>
      </c>
      <c r="J54" s="1">
        <v>4</v>
      </c>
      <c r="K54" s="1">
        <v>0</v>
      </c>
      <c r="L54" s="1">
        <v>593.88</v>
      </c>
      <c r="M54" s="6"/>
    </row>
    <row r="55" spans="1:13" ht="31.25" customHeight="1" x14ac:dyDescent="0.45">
      <c r="A55" s="5" t="s">
        <v>220</v>
      </c>
      <c r="B55" s="1" t="s">
        <v>221</v>
      </c>
      <c r="C55" s="1" t="s">
        <v>222</v>
      </c>
      <c r="D55" s="1" t="s">
        <v>223</v>
      </c>
      <c r="E55" s="1" t="s">
        <v>134</v>
      </c>
      <c r="F55" s="1" t="s">
        <v>58</v>
      </c>
      <c r="G55" s="1" t="s">
        <v>19</v>
      </c>
      <c r="H55" s="1" t="s">
        <v>188</v>
      </c>
      <c r="I55" s="1">
        <v>1526.52</v>
      </c>
      <c r="J55" s="1">
        <v>4</v>
      </c>
      <c r="K55" s="1">
        <v>0</v>
      </c>
      <c r="L55" s="1">
        <v>732.72</v>
      </c>
      <c r="M55" s="6" t="s">
        <v>31</v>
      </c>
    </row>
    <row r="56" spans="1:13" ht="31.25" customHeight="1" x14ac:dyDescent="0.45">
      <c r="A56" s="5" t="s">
        <v>126</v>
      </c>
      <c r="B56" s="1" t="s">
        <v>127</v>
      </c>
      <c r="C56" s="1" t="s">
        <v>128</v>
      </c>
      <c r="D56" s="1" t="s">
        <v>129</v>
      </c>
      <c r="E56" s="1" t="s">
        <v>46</v>
      </c>
      <c r="F56" s="4" t="s">
        <v>224</v>
      </c>
      <c r="G56" s="1"/>
      <c r="H56" s="1" t="s">
        <v>30</v>
      </c>
      <c r="I56" s="1">
        <v>9.9120000000000008</v>
      </c>
      <c r="J56" s="1">
        <v>3</v>
      </c>
      <c r="K56" s="1">
        <v>0.2</v>
      </c>
      <c r="L56" s="1"/>
      <c r="M56" s="6" t="s">
        <v>31</v>
      </c>
    </row>
    <row r="57" spans="1:13" ht="31.25" customHeight="1" x14ac:dyDescent="0.45">
      <c r="A57" s="5" t="s">
        <v>225</v>
      </c>
      <c r="B57" s="1" t="s">
        <v>226</v>
      </c>
      <c r="C57" s="1" t="s">
        <v>227</v>
      </c>
      <c r="D57" s="1" t="s">
        <v>228</v>
      </c>
      <c r="E57" s="1" t="s">
        <v>134</v>
      </c>
      <c r="F57" s="1" t="s">
        <v>58</v>
      </c>
      <c r="G57" s="1" t="s">
        <v>37</v>
      </c>
      <c r="H57" s="1" t="s">
        <v>38</v>
      </c>
      <c r="I57" s="1">
        <v>1745.34</v>
      </c>
      <c r="J57" s="1">
        <v>2</v>
      </c>
      <c r="K57" s="1">
        <v>0</v>
      </c>
      <c r="L57" s="1">
        <v>226.86</v>
      </c>
      <c r="M57" s="6" t="s">
        <v>31</v>
      </c>
    </row>
    <row r="58" spans="1:13" ht="31.25" customHeight="1" x14ac:dyDescent="0.45">
      <c r="A58" s="5" t="s">
        <v>229</v>
      </c>
      <c r="B58" s="2">
        <v>42132</v>
      </c>
      <c r="C58" s="2">
        <v>42163</v>
      </c>
      <c r="D58" s="1" t="s">
        <v>230</v>
      </c>
      <c r="E58" s="1" t="s">
        <v>17</v>
      </c>
      <c r="F58" s="1" t="s">
        <v>18</v>
      </c>
      <c r="G58" s="1" t="s">
        <v>51</v>
      </c>
      <c r="H58" s="1" t="s">
        <v>38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6" t="s">
        <v>42</v>
      </c>
    </row>
    <row r="59" spans="1:13" ht="31.25" customHeight="1" x14ac:dyDescent="0.45">
      <c r="A59" s="5" t="s">
        <v>158</v>
      </c>
      <c r="B59" s="2">
        <v>41248</v>
      </c>
      <c r="C59" s="1" t="s">
        <v>231</v>
      </c>
      <c r="D59" s="1" t="s">
        <v>129</v>
      </c>
      <c r="E59" s="1" t="s">
        <v>46</v>
      </c>
      <c r="F59" s="1" t="s">
        <v>49</v>
      </c>
      <c r="G59" s="1" t="s">
        <v>209</v>
      </c>
      <c r="H59" s="1" t="s">
        <v>50</v>
      </c>
      <c r="I59" s="1">
        <v>8</v>
      </c>
      <c r="J59" s="1">
        <v>2</v>
      </c>
      <c r="K59" s="1"/>
      <c r="L59" s="1">
        <v>3.84</v>
      </c>
      <c r="M59" s="6" t="s">
        <v>21</v>
      </c>
    </row>
    <row r="60" spans="1:13" ht="31.25" customHeight="1" x14ac:dyDescent="0.45">
      <c r="A60" s="5" t="s">
        <v>232</v>
      </c>
      <c r="B60" s="2">
        <v>42311</v>
      </c>
      <c r="C60" s="1"/>
      <c r="D60" s="1" t="s">
        <v>233</v>
      </c>
      <c r="E60" s="1" t="s">
        <v>234</v>
      </c>
      <c r="F60" s="1" t="s">
        <v>58</v>
      </c>
      <c r="G60" s="1" t="s">
        <v>235</v>
      </c>
      <c r="H60" s="1" t="s">
        <v>84</v>
      </c>
      <c r="I60" s="1">
        <v>3063.27</v>
      </c>
      <c r="J60" s="1">
        <v>7</v>
      </c>
      <c r="K60" s="1">
        <v>0</v>
      </c>
      <c r="L60" s="1">
        <v>581.91</v>
      </c>
      <c r="M60" s="6" t="s">
        <v>42</v>
      </c>
    </row>
    <row r="61" spans="1:13" ht="31.25" customHeight="1" x14ac:dyDescent="0.45">
      <c r="A61" s="5" t="s">
        <v>236</v>
      </c>
      <c r="B61" s="1" t="s">
        <v>237</v>
      </c>
      <c r="C61" s="1" t="s">
        <v>238</v>
      </c>
      <c r="D61" s="1" t="s">
        <v>129</v>
      </c>
      <c r="E61" s="1" t="s">
        <v>46</v>
      </c>
      <c r="F61" s="1" t="s">
        <v>130</v>
      </c>
      <c r="G61" s="1" t="s">
        <v>51</v>
      </c>
      <c r="H61" s="1" t="s">
        <v>30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6" t="s">
        <v>21</v>
      </c>
    </row>
    <row r="62" spans="1:13" ht="31.25" customHeight="1" x14ac:dyDescent="0.45">
      <c r="A62" s="5" t="s">
        <v>239</v>
      </c>
      <c r="B62" s="2">
        <v>42316</v>
      </c>
      <c r="C62" s="1" t="s">
        <v>240</v>
      </c>
      <c r="D62" s="1" t="s">
        <v>241</v>
      </c>
      <c r="E62" s="1" t="s">
        <v>26</v>
      </c>
      <c r="F62" s="1" t="s">
        <v>80</v>
      </c>
      <c r="G62" s="1" t="s">
        <v>19</v>
      </c>
      <c r="H62" s="1" t="s">
        <v>188</v>
      </c>
      <c r="I62" s="1">
        <v>4473</v>
      </c>
      <c r="J62" s="1">
        <v>7</v>
      </c>
      <c r="K62" s="1">
        <v>0</v>
      </c>
      <c r="L62" s="1">
        <v>313.11</v>
      </c>
      <c r="M62" s="6" t="s">
        <v>21</v>
      </c>
    </row>
    <row r="63" spans="1:13" ht="31.25" customHeight="1" x14ac:dyDescent="0.45">
      <c r="A63" s="5" t="s">
        <v>242</v>
      </c>
      <c r="B63" s="1" t="s">
        <v>243</v>
      </c>
      <c r="C63" s="2">
        <v>41707</v>
      </c>
      <c r="D63" s="1" t="s">
        <v>244</v>
      </c>
      <c r="E63" s="1" t="s">
        <v>26</v>
      </c>
      <c r="F63" s="1" t="s">
        <v>80</v>
      </c>
      <c r="G63" s="1" t="s">
        <v>19</v>
      </c>
      <c r="H63" s="1" t="s">
        <v>150</v>
      </c>
      <c r="I63" s="1">
        <v>1502.01</v>
      </c>
      <c r="J63" s="1">
        <v>9</v>
      </c>
      <c r="K63" s="1">
        <v>0</v>
      </c>
      <c r="L63" s="1">
        <v>225.18</v>
      </c>
      <c r="M63" s="6" t="s">
        <v>31</v>
      </c>
    </row>
    <row r="64" spans="1:13" ht="31.25" customHeight="1" x14ac:dyDescent="0.45">
      <c r="A64" s="5" t="s">
        <v>245</v>
      </c>
      <c r="B64" s="1" t="s">
        <v>164</v>
      </c>
      <c r="C64" s="1" t="s">
        <v>246</v>
      </c>
      <c r="D64" s="1" t="s">
        <v>247</v>
      </c>
      <c r="E64" s="1" t="s">
        <v>74</v>
      </c>
      <c r="F64" s="1" t="s">
        <v>103</v>
      </c>
      <c r="G64" s="1" t="s">
        <v>37</v>
      </c>
      <c r="H64" s="1" t="s">
        <v>30</v>
      </c>
      <c r="I64" s="1">
        <v>5049</v>
      </c>
      <c r="J64" s="1">
        <v>11</v>
      </c>
      <c r="K64" s="1">
        <v>0</v>
      </c>
      <c r="L64" s="1">
        <v>3799.5593480000002</v>
      </c>
      <c r="M64" s="6" t="s">
        <v>42</v>
      </c>
    </row>
    <row r="65" spans="1:13" ht="31.25" customHeight="1" x14ac:dyDescent="0.45">
      <c r="A65" s="5" t="s">
        <v>248</v>
      </c>
      <c r="B65" s="2">
        <v>42064</v>
      </c>
      <c r="C65" s="1"/>
      <c r="D65" s="1" t="s">
        <v>249</v>
      </c>
      <c r="E65" s="1" t="s">
        <v>46</v>
      </c>
      <c r="F65" s="1" t="s">
        <v>192</v>
      </c>
      <c r="G65" s="1" t="s">
        <v>19</v>
      </c>
      <c r="H65" s="1" t="s">
        <v>30</v>
      </c>
      <c r="I65" s="1">
        <v>695.7</v>
      </c>
      <c r="J65" s="1"/>
      <c r="K65" s="1"/>
      <c r="L65" s="1">
        <v>-27.827999999999999</v>
      </c>
      <c r="M65" s="6" t="s">
        <v>42</v>
      </c>
    </row>
    <row r="66" spans="1:13" ht="31.25" customHeight="1" x14ac:dyDescent="0.45">
      <c r="A66" s="5" t="s">
        <v>250</v>
      </c>
      <c r="B66" s="2">
        <v>42197</v>
      </c>
      <c r="C66" s="2">
        <v>42346</v>
      </c>
      <c r="D66" s="1" t="s">
        <v>251</v>
      </c>
      <c r="E66" s="1" t="s">
        <v>252</v>
      </c>
      <c r="F66" s="1" t="s">
        <v>89</v>
      </c>
      <c r="G66" s="1" t="s">
        <v>37</v>
      </c>
      <c r="H66" s="1" t="s">
        <v>27</v>
      </c>
      <c r="I66" s="1">
        <v>2188.0500000000002</v>
      </c>
      <c r="J66" s="1">
        <v>5</v>
      </c>
      <c r="K66" s="1">
        <v>0</v>
      </c>
      <c r="L66" s="1">
        <v>1050.1500000000001</v>
      </c>
      <c r="M66" s="6" t="s">
        <v>42</v>
      </c>
    </row>
    <row r="67" spans="1:13" ht="31.25" customHeight="1" x14ac:dyDescent="0.45">
      <c r="A67" s="10" t="s">
        <v>253</v>
      </c>
      <c r="B67" s="1"/>
      <c r="C67" s="1" t="s">
        <v>237</v>
      </c>
      <c r="D67" s="1" t="s">
        <v>254</v>
      </c>
      <c r="E67" s="1" t="s">
        <v>134</v>
      </c>
      <c r="F67" s="1" t="s">
        <v>58</v>
      </c>
      <c r="G67" s="1" t="s">
        <v>37</v>
      </c>
      <c r="H67" s="1" t="s">
        <v>84</v>
      </c>
      <c r="I67" s="1">
        <v>1920.36</v>
      </c>
      <c r="J67" s="1">
        <v>4</v>
      </c>
      <c r="K67" s="1">
        <v>0</v>
      </c>
      <c r="L67" s="1">
        <v>652.91999999999996</v>
      </c>
      <c r="M67" s="6" t="s">
        <v>31</v>
      </c>
    </row>
    <row r="68" spans="1:13" ht="31.25" customHeight="1" x14ac:dyDescent="0.45">
      <c r="A68" s="5" t="s">
        <v>255</v>
      </c>
      <c r="B68" s="1" t="s">
        <v>256</v>
      </c>
      <c r="C68" s="1" t="s">
        <v>256</v>
      </c>
      <c r="D68" s="1" t="s">
        <v>257</v>
      </c>
      <c r="E68" s="1" t="s">
        <v>111</v>
      </c>
      <c r="F68" s="1" t="s">
        <v>112</v>
      </c>
      <c r="G68" s="1" t="s">
        <v>19</v>
      </c>
      <c r="H68" s="1" t="s">
        <v>188</v>
      </c>
      <c r="I68" s="1">
        <v>1704</v>
      </c>
      <c r="J68" s="1">
        <v>4</v>
      </c>
      <c r="K68" s="1">
        <v>0</v>
      </c>
      <c r="L68" s="1">
        <v>119.28</v>
      </c>
      <c r="M68" s="6" t="s">
        <v>31</v>
      </c>
    </row>
    <row r="69" spans="1:13" ht="31.25" customHeight="1" x14ac:dyDescent="0.45">
      <c r="A69" s="5" t="s">
        <v>258</v>
      </c>
      <c r="B69" s="2">
        <v>41132</v>
      </c>
      <c r="C69" s="2">
        <v>41193</v>
      </c>
      <c r="D69" s="1" t="s">
        <v>259</v>
      </c>
      <c r="E69" s="1" t="s">
        <v>260</v>
      </c>
      <c r="F69" s="1" t="s">
        <v>261</v>
      </c>
      <c r="G69" s="1" t="s">
        <v>37</v>
      </c>
      <c r="H69" s="1" t="s">
        <v>50</v>
      </c>
      <c r="I69" s="1">
        <v>1858.68</v>
      </c>
      <c r="J69" s="1">
        <v>4</v>
      </c>
      <c r="K69" s="1">
        <v>0</v>
      </c>
      <c r="L69" s="1"/>
      <c r="M69" s="6" t="s">
        <v>31</v>
      </c>
    </row>
    <row r="70" spans="1:13" ht="31.25" customHeight="1" x14ac:dyDescent="0.45">
      <c r="A70" s="5" t="s">
        <v>262</v>
      </c>
      <c r="B70" s="2">
        <v>41797</v>
      </c>
      <c r="C70" s="2">
        <v>41888</v>
      </c>
      <c r="D70" s="1" t="s">
        <v>263</v>
      </c>
      <c r="E70" s="1" t="s">
        <v>264</v>
      </c>
      <c r="F70" s="1" t="s">
        <v>103</v>
      </c>
      <c r="G70" s="1" t="s">
        <v>37</v>
      </c>
      <c r="H70" s="1" t="s">
        <v>30</v>
      </c>
      <c r="I70" s="1">
        <v>3298.26</v>
      </c>
      <c r="J70" s="1">
        <v>7</v>
      </c>
      <c r="K70" s="1">
        <v>0</v>
      </c>
      <c r="L70" s="1">
        <v>1055.25</v>
      </c>
      <c r="M70" s="6" t="s">
        <v>42</v>
      </c>
    </row>
    <row r="71" spans="1:13" ht="31.25" customHeight="1" x14ac:dyDescent="0.45">
      <c r="A71" s="5" t="s">
        <v>265</v>
      </c>
      <c r="B71" s="1" t="s">
        <v>266</v>
      </c>
      <c r="C71" s="1" t="s">
        <v>267</v>
      </c>
      <c r="D71" s="1" t="s">
        <v>268</v>
      </c>
      <c r="E71" s="1" t="s">
        <v>269</v>
      </c>
      <c r="F71" s="1" t="s">
        <v>112</v>
      </c>
      <c r="G71" s="1" t="s">
        <v>51</v>
      </c>
      <c r="H71" s="1" t="s">
        <v>50</v>
      </c>
      <c r="I71" s="1">
        <v>2443.48</v>
      </c>
      <c r="J71" s="1">
        <v>13</v>
      </c>
      <c r="K71" s="1">
        <v>0</v>
      </c>
      <c r="L71" s="1" t="s">
        <v>270</v>
      </c>
      <c r="M71" s="6" t="s">
        <v>21</v>
      </c>
    </row>
    <row r="72" spans="1:13" ht="31.25" customHeight="1" x14ac:dyDescent="0.45">
      <c r="A72" s="5" t="s">
        <v>271</v>
      </c>
      <c r="B72" s="1" t="s">
        <v>272</v>
      </c>
      <c r="C72" s="1" t="s">
        <v>273</v>
      </c>
      <c r="D72" s="1" t="s">
        <v>274</v>
      </c>
      <c r="E72" s="1" t="s">
        <v>155</v>
      </c>
      <c r="F72" s="1" t="s">
        <v>156</v>
      </c>
      <c r="G72" s="1" t="s">
        <v>37</v>
      </c>
      <c r="H72" s="1" t="s">
        <v>27</v>
      </c>
      <c r="I72" s="1"/>
      <c r="J72" s="1">
        <v>8</v>
      </c>
      <c r="K72" s="1">
        <v>0</v>
      </c>
      <c r="L72" s="1">
        <v>1523.52</v>
      </c>
      <c r="M72" s="6" t="s">
        <v>42</v>
      </c>
    </row>
    <row r="73" spans="1:13" ht="31.25" customHeight="1" x14ac:dyDescent="0.45">
      <c r="A73" s="5" t="s">
        <v>275</v>
      </c>
      <c r="B73" s="1" t="s">
        <v>276</v>
      </c>
      <c r="C73" s="1" t="s">
        <v>277</v>
      </c>
      <c r="D73" s="1" t="s">
        <v>278</v>
      </c>
      <c r="E73" s="1" t="s">
        <v>171</v>
      </c>
      <c r="F73" s="1" t="s">
        <v>172</v>
      </c>
      <c r="G73" s="1" t="s">
        <v>37</v>
      </c>
      <c r="H73" s="1" t="s">
        <v>84</v>
      </c>
      <c r="I73" s="1">
        <v>3427.1496000000002</v>
      </c>
      <c r="J73" s="1">
        <v>7</v>
      </c>
      <c r="K73" s="1"/>
      <c r="L73" s="1">
        <v>-452.81040000000002</v>
      </c>
      <c r="M73" s="6" t="s">
        <v>42</v>
      </c>
    </row>
    <row r="74" spans="1:13" ht="31.25" customHeight="1" x14ac:dyDescent="0.45">
      <c r="A74" s="5" t="s">
        <v>279</v>
      </c>
      <c r="B74" s="1" t="s">
        <v>280</v>
      </c>
      <c r="C74" s="1" t="s">
        <v>281</v>
      </c>
      <c r="D74" s="1" t="s">
        <v>282</v>
      </c>
      <c r="E74" s="4" t="s">
        <v>107</v>
      </c>
      <c r="F74" s="1"/>
      <c r="G74" s="1" t="s">
        <v>19</v>
      </c>
      <c r="H74" s="1" t="s">
        <v>27</v>
      </c>
      <c r="I74" s="1">
        <v>3441.69</v>
      </c>
      <c r="J74" s="1"/>
      <c r="K74" s="1">
        <v>0.1</v>
      </c>
      <c r="L74" s="1">
        <v>38.07</v>
      </c>
      <c r="M74" s="6" t="s">
        <v>42</v>
      </c>
    </row>
    <row r="75" spans="1:13" ht="31.25" customHeight="1" x14ac:dyDescent="0.45">
      <c r="A75" s="5" t="s">
        <v>283</v>
      </c>
      <c r="B75" s="1" t="s">
        <v>284</v>
      </c>
      <c r="C75" s="1" t="s">
        <v>285</v>
      </c>
      <c r="D75" s="1" t="s">
        <v>203</v>
      </c>
      <c r="E75" s="1" t="s">
        <v>17</v>
      </c>
      <c r="F75" s="1" t="s">
        <v>18</v>
      </c>
      <c r="G75" s="1" t="s">
        <v>19</v>
      </c>
      <c r="H75" s="1" t="s">
        <v>50</v>
      </c>
      <c r="I75" s="1">
        <v>2863.35</v>
      </c>
      <c r="J75" s="1">
        <v>5</v>
      </c>
      <c r="K75" s="1">
        <v>0.1</v>
      </c>
      <c r="L75" s="1">
        <v>858.9</v>
      </c>
      <c r="M75" s="6" t="s">
        <v>286</v>
      </c>
    </row>
    <row r="76" spans="1:13" ht="31.25" customHeight="1" x14ac:dyDescent="0.45">
      <c r="A76" s="5"/>
      <c r="B76" s="2">
        <v>42043</v>
      </c>
      <c r="C76" s="2">
        <v>42224</v>
      </c>
      <c r="D76" s="1" t="s">
        <v>249</v>
      </c>
      <c r="E76" s="1" t="s">
        <v>46</v>
      </c>
      <c r="F76" s="1" t="s">
        <v>47</v>
      </c>
      <c r="G76" s="1" t="s">
        <v>19</v>
      </c>
      <c r="H76" s="1" t="s">
        <v>30</v>
      </c>
      <c r="I76" s="1"/>
      <c r="J76" s="1">
        <v>3</v>
      </c>
      <c r="K76" s="1">
        <v>0.4</v>
      </c>
      <c r="L76" s="1">
        <v>-263.99669999999998</v>
      </c>
      <c r="M76" s="6" t="s">
        <v>21</v>
      </c>
    </row>
    <row r="77" spans="1:13" ht="31.25" customHeight="1" x14ac:dyDescent="0.45">
      <c r="A77" s="5" t="s">
        <v>287</v>
      </c>
      <c r="B77" s="1" t="s">
        <v>288</v>
      </c>
      <c r="C77" s="1" t="s">
        <v>289</v>
      </c>
      <c r="D77" s="4" t="s">
        <v>290</v>
      </c>
      <c r="E77" s="1"/>
      <c r="F77" s="1" t="s">
        <v>80</v>
      </c>
      <c r="G77" s="1" t="s">
        <v>291</v>
      </c>
      <c r="H77" s="1" t="s">
        <v>30</v>
      </c>
      <c r="I77" s="1">
        <v>1487.4</v>
      </c>
      <c r="J77" s="1">
        <v>10</v>
      </c>
      <c r="K77" s="1">
        <v>0</v>
      </c>
      <c r="L77" s="1">
        <v>728.7</v>
      </c>
      <c r="M77" s="6" t="s">
        <v>31</v>
      </c>
    </row>
    <row r="78" spans="1:13" ht="31.25" customHeight="1" x14ac:dyDescent="0.45">
      <c r="A78" s="5" t="s">
        <v>292</v>
      </c>
      <c r="B78" s="2">
        <v>41132</v>
      </c>
      <c r="C78" s="2">
        <v>41193</v>
      </c>
      <c r="D78" s="1" t="s">
        <v>293</v>
      </c>
      <c r="E78" s="1" t="s">
        <v>74</v>
      </c>
      <c r="F78" s="1" t="s">
        <v>103</v>
      </c>
      <c r="G78" s="1" t="s">
        <v>19</v>
      </c>
      <c r="H78" s="1" t="s">
        <v>52</v>
      </c>
      <c r="I78" s="1">
        <v>3200.04</v>
      </c>
      <c r="J78" s="1">
        <v>9</v>
      </c>
      <c r="K78" s="1" t="s">
        <v>294</v>
      </c>
      <c r="L78" s="1">
        <v>1183.95</v>
      </c>
      <c r="M78" s="6" t="s">
        <v>295</v>
      </c>
    </row>
    <row r="79" spans="1:13" ht="31.25" customHeight="1" x14ac:dyDescent="0.45">
      <c r="A79" s="5" t="s">
        <v>296</v>
      </c>
      <c r="B79" s="1" t="s">
        <v>208</v>
      </c>
      <c r="C79" s="1" t="s">
        <v>208</v>
      </c>
      <c r="D79" s="1" t="s">
        <v>297</v>
      </c>
      <c r="E79" s="1" t="s">
        <v>134</v>
      </c>
      <c r="F79" s="4" t="s">
        <v>58</v>
      </c>
      <c r="G79" s="1"/>
      <c r="H79" s="1" t="s">
        <v>38</v>
      </c>
      <c r="I79" s="1">
        <v>2301</v>
      </c>
      <c r="J79" s="1">
        <v>5</v>
      </c>
      <c r="K79" s="1">
        <v>0</v>
      </c>
      <c r="L79" s="1">
        <v>91.95</v>
      </c>
      <c r="M79" s="6" t="s">
        <v>31</v>
      </c>
    </row>
    <row r="80" spans="1:13" ht="31.25" customHeight="1" x14ac:dyDescent="0.45">
      <c r="A80" s="5"/>
      <c r="B80" s="1" t="s">
        <v>298</v>
      </c>
      <c r="C80" s="1" t="s">
        <v>299</v>
      </c>
      <c r="D80" s="1" t="s">
        <v>300</v>
      </c>
      <c r="E80" s="1" t="s">
        <v>79</v>
      </c>
      <c r="F80" s="1" t="s">
        <v>80</v>
      </c>
      <c r="G80" s="1" t="s">
        <v>37</v>
      </c>
      <c r="H80" s="1" t="s">
        <v>38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6" t="s">
        <v>42</v>
      </c>
    </row>
    <row r="81" spans="1:13" ht="31.25" customHeight="1" x14ac:dyDescent="0.45">
      <c r="A81" s="5" t="s">
        <v>301</v>
      </c>
      <c r="B81" s="1" t="s">
        <v>302</v>
      </c>
      <c r="C81" s="1" t="s">
        <v>303</v>
      </c>
      <c r="D81" s="1" t="s">
        <v>149</v>
      </c>
      <c r="E81" s="1" t="s">
        <v>304</v>
      </c>
      <c r="F81" s="1" t="s">
        <v>305</v>
      </c>
      <c r="G81" s="1" t="s">
        <v>19</v>
      </c>
      <c r="H81" s="1" t="s">
        <v>27</v>
      </c>
      <c r="I81" s="1">
        <v>5301.24</v>
      </c>
      <c r="J81" s="1">
        <v>14</v>
      </c>
      <c r="K81" s="1">
        <v>0</v>
      </c>
      <c r="L81" s="1">
        <v>2597.2800000000002</v>
      </c>
      <c r="M81" s="6" t="s">
        <v>21</v>
      </c>
    </row>
    <row r="82" spans="1:13" ht="31.25" customHeight="1" x14ac:dyDescent="0.45">
      <c r="A82" s="5"/>
      <c r="B82" s="1" t="s">
        <v>306</v>
      </c>
      <c r="C82" s="1" t="s">
        <v>307</v>
      </c>
      <c r="D82" s="1" t="s">
        <v>249</v>
      </c>
      <c r="E82" s="1" t="s">
        <v>46</v>
      </c>
      <c r="F82" s="1" t="s">
        <v>49</v>
      </c>
      <c r="G82" s="1" t="s">
        <v>37</v>
      </c>
      <c r="H82" s="1" t="s">
        <v>27</v>
      </c>
      <c r="I82" s="1">
        <v>477.666</v>
      </c>
      <c r="J82" s="1">
        <v>2</v>
      </c>
      <c r="K82" s="1">
        <v>0.15</v>
      </c>
      <c r="L82" s="1">
        <v>84.293999999999997</v>
      </c>
      <c r="M82" s="6" t="s">
        <v>31</v>
      </c>
    </row>
    <row r="83" spans="1:13" ht="31.25" customHeight="1" x14ac:dyDescent="0.45">
      <c r="A83" s="5" t="s">
        <v>308</v>
      </c>
      <c r="B83" s="2">
        <v>42133</v>
      </c>
      <c r="C83" s="2">
        <v>42164</v>
      </c>
      <c r="D83" s="1" t="s">
        <v>249</v>
      </c>
      <c r="E83" s="1" t="s">
        <v>46</v>
      </c>
      <c r="F83" s="1" t="s">
        <v>49</v>
      </c>
      <c r="G83" s="1" t="s">
        <v>51</v>
      </c>
      <c r="H83" s="1" t="s">
        <v>38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6" t="s">
        <v>42</v>
      </c>
    </row>
    <row r="84" spans="1:13" ht="31.25" customHeight="1" x14ac:dyDescent="0.45">
      <c r="A84" s="5"/>
      <c r="B84" s="1" t="s">
        <v>309</v>
      </c>
      <c r="C84" s="2">
        <v>41761</v>
      </c>
      <c r="D84" s="1" t="s">
        <v>170</v>
      </c>
      <c r="E84" s="1" t="s">
        <v>26</v>
      </c>
      <c r="F84" s="1" t="s">
        <v>80</v>
      </c>
      <c r="G84" s="1" t="s">
        <v>19</v>
      </c>
      <c r="H84" s="1" t="s">
        <v>52</v>
      </c>
      <c r="I84" s="1">
        <v>3219.9</v>
      </c>
      <c r="J84" s="1">
        <v>5</v>
      </c>
      <c r="K84" s="1"/>
      <c r="L84" s="1">
        <v>965.85</v>
      </c>
      <c r="M84" s="6" t="s">
        <v>85</v>
      </c>
    </row>
    <row r="85" spans="1:13" ht="31.25" customHeight="1" x14ac:dyDescent="0.45">
      <c r="A85" s="5" t="s">
        <v>310</v>
      </c>
      <c r="B85" s="1" t="s">
        <v>311</v>
      </c>
      <c r="C85" s="1" t="s">
        <v>312</v>
      </c>
      <c r="D85" s="1" t="s">
        <v>313</v>
      </c>
      <c r="E85" s="1" t="s">
        <v>171</v>
      </c>
      <c r="F85" s="1" t="s">
        <v>172</v>
      </c>
      <c r="G85" s="1" t="s">
        <v>51</v>
      </c>
      <c r="H85" s="1" t="s">
        <v>27</v>
      </c>
      <c r="I85" s="1">
        <v>2487.8087999999998</v>
      </c>
      <c r="J85" s="1"/>
      <c r="K85" s="1">
        <v>0.17</v>
      </c>
      <c r="L85" s="1">
        <v>-269.7912</v>
      </c>
      <c r="M85" s="6" t="s">
        <v>31</v>
      </c>
    </row>
    <row r="86" spans="1:13" ht="31.25" customHeight="1" x14ac:dyDescent="0.45">
      <c r="A86" s="5" t="s">
        <v>314</v>
      </c>
      <c r="B86" s="1" t="s">
        <v>315</v>
      </c>
      <c r="C86" s="1" t="s">
        <v>315</v>
      </c>
      <c r="D86" s="1" t="s">
        <v>316</v>
      </c>
      <c r="E86" s="1" t="s">
        <v>304</v>
      </c>
      <c r="F86" s="1" t="s">
        <v>305</v>
      </c>
      <c r="G86" s="1" t="s">
        <v>51</v>
      </c>
      <c r="H86" s="1" t="s">
        <v>30</v>
      </c>
      <c r="I86" s="1">
        <v>2266.44</v>
      </c>
      <c r="J86" s="1">
        <v>4</v>
      </c>
      <c r="K86" s="1">
        <v>0</v>
      </c>
      <c r="L86" s="1">
        <v>113.28</v>
      </c>
      <c r="M86" s="6" t="s">
        <v>21</v>
      </c>
    </row>
    <row r="87" spans="1:13" ht="31.25" customHeight="1" x14ac:dyDescent="0.45">
      <c r="A87" s="5"/>
      <c r="B87" s="1" t="s">
        <v>317</v>
      </c>
      <c r="C87" s="1" t="s">
        <v>317</v>
      </c>
      <c r="D87" s="1" t="s">
        <v>318</v>
      </c>
      <c r="E87" s="1" t="s">
        <v>17</v>
      </c>
      <c r="F87" s="1" t="s">
        <v>18</v>
      </c>
      <c r="G87" s="1" t="s">
        <v>19</v>
      </c>
      <c r="H87" s="1" t="s">
        <v>84</v>
      </c>
      <c r="I87" s="1">
        <v>3068.3609999999999</v>
      </c>
      <c r="J87" s="1"/>
      <c r="K87" s="1">
        <v>0.1</v>
      </c>
      <c r="L87" s="1">
        <v>1124.9010000000001</v>
      </c>
      <c r="M87" s="6" t="s">
        <v>42</v>
      </c>
    </row>
    <row r="88" spans="1:13" ht="31.25" customHeight="1" x14ac:dyDescent="0.45">
      <c r="A88" s="5" t="s">
        <v>319</v>
      </c>
      <c r="B88" s="1" t="s">
        <v>320</v>
      </c>
      <c r="C88" s="1" t="s">
        <v>321</v>
      </c>
      <c r="D88" s="1" t="s">
        <v>322</v>
      </c>
      <c r="E88" s="1" t="s">
        <v>234</v>
      </c>
      <c r="F88" s="1" t="s">
        <v>58</v>
      </c>
      <c r="G88" s="1" t="s">
        <v>37</v>
      </c>
      <c r="H88" s="1" t="s">
        <v>84</v>
      </c>
      <c r="I88" s="1">
        <v>3728.43</v>
      </c>
      <c r="J88" s="1">
        <v>9</v>
      </c>
      <c r="K88" s="1">
        <v>0</v>
      </c>
      <c r="L88" s="1">
        <v>1192.8599999999999</v>
      </c>
      <c r="M88" s="6" t="s">
        <v>21</v>
      </c>
    </row>
    <row r="89" spans="1:13" ht="31.25" customHeight="1" x14ac:dyDescent="0.45">
      <c r="A89" s="5"/>
      <c r="B89" s="2">
        <v>41985</v>
      </c>
      <c r="C89" s="1" t="s">
        <v>323</v>
      </c>
      <c r="D89" s="1"/>
      <c r="E89" s="1" t="s">
        <v>74</v>
      </c>
      <c r="F89" s="1" t="s">
        <v>103</v>
      </c>
      <c r="G89" s="1" t="s">
        <v>19</v>
      </c>
      <c r="H89" s="1" t="s">
        <v>38</v>
      </c>
      <c r="I89" s="1">
        <v>1581.48</v>
      </c>
      <c r="J89" s="1"/>
      <c r="K89" s="1">
        <v>0</v>
      </c>
      <c r="L89" s="1">
        <v>0</v>
      </c>
      <c r="M89" s="6" t="s">
        <v>42</v>
      </c>
    </row>
    <row r="90" spans="1:13" ht="31.25" customHeight="1" x14ac:dyDescent="0.45">
      <c r="A90" s="5" t="s">
        <v>324</v>
      </c>
      <c r="B90" s="1" t="s">
        <v>226</v>
      </c>
      <c r="C90" s="1" t="s">
        <v>227</v>
      </c>
      <c r="D90" s="1" t="s">
        <v>228</v>
      </c>
      <c r="E90" s="1" t="s">
        <v>134</v>
      </c>
      <c r="F90" s="1" t="s">
        <v>58</v>
      </c>
      <c r="G90" s="1" t="s">
        <v>19</v>
      </c>
      <c r="H90" s="1" t="s">
        <v>188</v>
      </c>
      <c r="I90" s="1">
        <v>1916.73</v>
      </c>
      <c r="J90" s="1">
        <v>3</v>
      </c>
      <c r="K90" s="1">
        <v>0</v>
      </c>
      <c r="L90" s="1">
        <v>498.33</v>
      </c>
      <c r="M90" s="6" t="s">
        <v>31</v>
      </c>
    </row>
    <row r="91" spans="1:13" ht="31.25" customHeight="1" x14ac:dyDescent="0.45">
      <c r="A91" s="5" t="s">
        <v>325</v>
      </c>
      <c r="B91" s="2">
        <v>42104</v>
      </c>
      <c r="C91" s="2">
        <v>42257</v>
      </c>
      <c r="D91" s="1" t="s">
        <v>249</v>
      </c>
      <c r="E91" s="1" t="s">
        <v>46</v>
      </c>
      <c r="F91" s="1" t="s">
        <v>326</v>
      </c>
      <c r="G91" s="1" t="s">
        <v>37</v>
      </c>
      <c r="H91" s="1" t="s">
        <v>38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6" t="s">
        <v>21</v>
      </c>
    </row>
    <row r="92" spans="1:13" ht="31.25" customHeight="1" x14ac:dyDescent="0.45">
      <c r="A92" s="5" t="s">
        <v>327</v>
      </c>
      <c r="B92" s="2">
        <v>41682</v>
      </c>
      <c r="C92" s="1"/>
      <c r="D92" s="1" t="s">
        <v>328</v>
      </c>
      <c r="E92" s="1" t="s">
        <v>79</v>
      </c>
      <c r="F92" s="1" t="s">
        <v>80</v>
      </c>
      <c r="G92" s="1" t="s">
        <v>51</v>
      </c>
      <c r="H92" s="1" t="s">
        <v>30</v>
      </c>
      <c r="I92" s="1">
        <v>2432.16</v>
      </c>
      <c r="J92" s="1">
        <v>5</v>
      </c>
      <c r="K92" s="1">
        <v>0.1</v>
      </c>
      <c r="L92" s="1">
        <v>513.36</v>
      </c>
      <c r="M92" s="6" t="s">
        <v>31</v>
      </c>
    </row>
    <row r="93" spans="1:13" ht="31.25" customHeight="1" x14ac:dyDescent="0.45">
      <c r="A93" s="10" t="s">
        <v>248</v>
      </c>
      <c r="B93" s="1"/>
      <c r="C93" s="2">
        <v>42125</v>
      </c>
      <c r="D93" s="1"/>
      <c r="E93" s="1" t="s">
        <v>46</v>
      </c>
      <c r="F93" s="1" t="s">
        <v>192</v>
      </c>
      <c r="G93" s="1" t="s">
        <v>51</v>
      </c>
      <c r="H93" s="1" t="s">
        <v>50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6" t="s">
        <v>42</v>
      </c>
    </row>
    <row r="94" spans="1:13" ht="31.25" customHeight="1" x14ac:dyDescent="0.45">
      <c r="A94" s="5" t="s">
        <v>329</v>
      </c>
      <c r="B94" s="1" t="s">
        <v>23</v>
      </c>
      <c r="C94" s="1" t="s">
        <v>24</v>
      </c>
      <c r="D94" s="1" t="s">
        <v>330</v>
      </c>
      <c r="E94" s="1" t="s">
        <v>331</v>
      </c>
      <c r="F94" s="1" t="s">
        <v>172</v>
      </c>
      <c r="G94" s="1" t="s">
        <v>37</v>
      </c>
      <c r="H94" s="1" t="s">
        <v>84</v>
      </c>
      <c r="I94" s="1" t="s">
        <v>205</v>
      </c>
      <c r="J94" s="1">
        <v>7</v>
      </c>
      <c r="K94" s="1">
        <v>0.25</v>
      </c>
      <c r="L94" s="1" t="s">
        <v>332</v>
      </c>
      <c r="M94" s="6" t="s">
        <v>42</v>
      </c>
    </row>
    <row r="95" spans="1:13" ht="31.25" customHeight="1" x14ac:dyDescent="0.45">
      <c r="A95" s="5" t="s">
        <v>333</v>
      </c>
      <c r="B95" s="2">
        <v>41460</v>
      </c>
      <c r="C95" s="2">
        <v>41460</v>
      </c>
      <c r="D95" s="4" t="s">
        <v>334</v>
      </c>
      <c r="E95" s="1"/>
      <c r="F95" s="1" t="s">
        <v>18</v>
      </c>
      <c r="G95" s="1" t="s">
        <v>335</v>
      </c>
      <c r="H95" s="1" t="s">
        <v>30</v>
      </c>
      <c r="I95" s="1">
        <v>1847.52</v>
      </c>
      <c r="J95" s="1">
        <v>2</v>
      </c>
      <c r="K95" s="1">
        <v>0</v>
      </c>
      <c r="L95" s="1">
        <v>738.96</v>
      </c>
      <c r="M95" s="6" t="s">
        <v>42</v>
      </c>
    </row>
    <row r="96" spans="1:13" ht="31.25" customHeight="1" x14ac:dyDescent="0.45">
      <c r="A96" s="5"/>
      <c r="B96" s="1" t="s">
        <v>336</v>
      </c>
      <c r="C96" s="1" t="s">
        <v>337</v>
      </c>
      <c r="D96" s="1" t="s">
        <v>338</v>
      </c>
      <c r="E96" s="1" t="s">
        <v>339</v>
      </c>
      <c r="F96" s="1" t="s">
        <v>80</v>
      </c>
      <c r="G96" s="1" t="s">
        <v>37</v>
      </c>
      <c r="H96" s="1" t="s">
        <v>27</v>
      </c>
      <c r="I96" s="1">
        <v>2899.89</v>
      </c>
      <c r="J96" s="1">
        <v>7</v>
      </c>
      <c r="K96" s="1">
        <v>0</v>
      </c>
      <c r="L96" s="1">
        <v>927.78</v>
      </c>
      <c r="M96" s="6" t="s">
        <v>42</v>
      </c>
    </row>
    <row r="97" spans="1:13" ht="31.25" customHeight="1" x14ac:dyDescent="0.45">
      <c r="A97" s="5" t="s">
        <v>340</v>
      </c>
      <c r="B97" s="1" t="s">
        <v>341</v>
      </c>
      <c r="C97" s="2">
        <v>41317</v>
      </c>
      <c r="D97" s="1" t="s">
        <v>328</v>
      </c>
      <c r="E97" s="1" t="s">
        <v>17</v>
      </c>
      <c r="F97" s="1" t="s">
        <v>18</v>
      </c>
      <c r="G97" s="1" t="s">
        <v>37</v>
      </c>
      <c r="H97" s="1" t="s">
        <v>50</v>
      </c>
      <c r="I97" s="1">
        <v>2891.7</v>
      </c>
      <c r="J97" s="1">
        <v>7</v>
      </c>
      <c r="K97" s="1">
        <v>0.1</v>
      </c>
      <c r="L97" s="1">
        <v>96.39</v>
      </c>
      <c r="M97" s="6" t="s">
        <v>21</v>
      </c>
    </row>
    <row r="98" spans="1:13" ht="31.25" customHeight="1" x14ac:dyDescent="0.45">
      <c r="A98" s="5" t="s">
        <v>342</v>
      </c>
      <c r="B98" s="1" t="s">
        <v>343</v>
      </c>
      <c r="C98" s="1" t="s">
        <v>343</v>
      </c>
      <c r="D98" s="1" t="s">
        <v>344</v>
      </c>
      <c r="E98" s="1" t="s">
        <v>79</v>
      </c>
      <c r="F98" s="1" t="s">
        <v>80</v>
      </c>
      <c r="G98" s="1" t="s">
        <v>19</v>
      </c>
      <c r="H98" s="1" t="s">
        <v>188</v>
      </c>
      <c r="I98" s="1">
        <v>2016.846</v>
      </c>
      <c r="J98" s="1">
        <v>9</v>
      </c>
      <c r="K98" s="1">
        <v>0.15</v>
      </c>
      <c r="L98" s="1">
        <v>-5.3999999999999999E-2</v>
      </c>
      <c r="M98" s="6" t="s">
        <v>31</v>
      </c>
    </row>
    <row r="99" spans="1:13" ht="31.25" customHeight="1" x14ac:dyDescent="0.45">
      <c r="A99" s="5" t="s">
        <v>345</v>
      </c>
      <c r="B99" s="3">
        <v>41885</v>
      </c>
      <c r="C99" s="2">
        <v>41768</v>
      </c>
      <c r="D99" s="1" t="s">
        <v>346</v>
      </c>
      <c r="E99" s="1" t="s">
        <v>79</v>
      </c>
      <c r="F99" s="1" t="s">
        <v>80</v>
      </c>
      <c r="G99" s="1" t="s">
        <v>51</v>
      </c>
      <c r="H99" s="1" t="s">
        <v>27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6" t="s">
        <v>42</v>
      </c>
    </row>
    <row r="100" spans="1:13" ht="31.25" customHeight="1" x14ac:dyDescent="0.45">
      <c r="A100" s="5" t="s">
        <v>347</v>
      </c>
      <c r="B100" s="1" t="s">
        <v>348</v>
      </c>
      <c r="C100" s="2">
        <v>41647</v>
      </c>
      <c r="D100" s="1" t="s">
        <v>349</v>
      </c>
      <c r="E100" s="1" t="s">
        <v>155</v>
      </c>
      <c r="F100" s="1" t="s">
        <v>156</v>
      </c>
      <c r="G100" s="1" t="s">
        <v>19</v>
      </c>
      <c r="H100" s="1" t="s">
        <v>150</v>
      </c>
      <c r="I100" s="1">
        <v>3856.14</v>
      </c>
      <c r="J100" s="1">
        <v>6</v>
      </c>
      <c r="K100" s="1">
        <v>0</v>
      </c>
      <c r="L100" s="1"/>
      <c r="M100" s="6" t="s">
        <v>85</v>
      </c>
    </row>
    <row r="101" spans="1:13" ht="31.25" customHeight="1" x14ac:dyDescent="0.45">
      <c r="A101" s="5" t="s">
        <v>350</v>
      </c>
      <c r="B101" s="1" t="s">
        <v>298</v>
      </c>
      <c r="C101" s="1" t="s">
        <v>351</v>
      </c>
      <c r="D101" s="1" t="s">
        <v>352</v>
      </c>
      <c r="E101" s="1" t="s">
        <v>17</v>
      </c>
      <c r="F101" s="1" t="s">
        <v>18</v>
      </c>
      <c r="G101" s="1" t="s">
        <v>19</v>
      </c>
      <c r="H101" s="1" t="s">
        <v>84</v>
      </c>
      <c r="I101" s="1">
        <v>3524.4720000000002</v>
      </c>
      <c r="J101" s="1">
        <v>6</v>
      </c>
      <c r="K101" s="1">
        <v>0.1</v>
      </c>
      <c r="L101" s="1" t="s">
        <v>353</v>
      </c>
      <c r="M101" s="6" t="s">
        <v>85</v>
      </c>
    </row>
    <row r="102" spans="1:13" ht="31.25" customHeight="1" x14ac:dyDescent="0.45">
      <c r="A102" s="5"/>
      <c r="B102" s="1" t="s">
        <v>354</v>
      </c>
      <c r="C102" s="1" t="s">
        <v>354</v>
      </c>
      <c r="D102" s="1" t="s">
        <v>355</v>
      </c>
      <c r="E102" s="1" t="s">
        <v>79</v>
      </c>
      <c r="F102" s="1" t="s">
        <v>80</v>
      </c>
      <c r="G102" s="1" t="s">
        <v>19</v>
      </c>
      <c r="H102" s="1" t="s">
        <v>30</v>
      </c>
      <c r="I102" s="1">
        <v>2167.2959999999998</v>
      </c>
      <c r="J102" s="1">
        <v>4</v>
      </c>
      <c r="K102" s="1"/>
      <c r="L102" s="1">
        <v>790.41600000000005</v>
      </c>
      <c r="M102" s="6" t="s">
        <v>42</v>
      </c>
    </row>
    <row r="103" spans="1:13" ht="31.25" customHeight="1" x14ac:dyDescent="0.45">
      <c r="A103" s="5" t="s">
        <v>356</v>
      </c>
      <c r="B103" s="2">
        <v>41588</v>
      </c>
      <c r="C103" s="1" t="s">
        <v>357</v>
      </c>
      <c r="D103" s="1" t="s">
        <v>358</v>
      </c>
      <c r="E103" s="1" t="s">
        <v>111</v>
      </c>
      <c r="F103" s="1" t="s">
        <v>112</v>
      </c>
      <c r="G103" s="1" t="s">
        <v>19</v>
      </c>
      <c r="H103" s="1" t="s">
        <v>30</v>
      </c>
      <c r="I103" s="1"/>
      <c r="J103" s="1">
        <v>6</v>
      </c>
      <c r="K103" s="1">
        <v>0</v>
      </c>
      <c r="L103" s="1">
        <v>178.92</v>
      </c>
      <c r="M103" s="6" t="s">
        <v>21</v>
      </c>
    </row>
    <row r="104" spans="1:13" ht="31.25" customHeight="1" x14ac:dyDescent="0.45">
      <c r="A104" s="5"/>
      <c r="B104" s="2">
        <v>41129</v>
      </c>
      <c r="C104" s="2">
        <v>41190</v>
      </c>
      <c r="D104" s="1" t="s">
        <v>359</v>
      </c>
      <c r="E104" s="1" t="s">
        <v>26</v>
      </c>
      <c r="F104" s="1" t="s">
        <v>80</v>
      </c>
      <c r="G104" s="1" t="s">
        <v>19</v>
      </c>
      <c r="H104" s="1" t="s">
        <v>30</v>
      </c>
      <c r="I104" s="1">
        <v>1469.25</v>
      </c>
      <c r="J104" s="1">
        <v>5</v>
      </c>
      <c r="K104" s="1">
        <v>0</v>
      </c>
      <c r="L104" s="1">
        <v>308.39999999999998</v>
      </c>
      <c r="M104" s="6" t="s">
        <v>31</v>
      </c>
    </row>
    <row r="105" spans="1:13" ht="31.25" customHeight="1" x14ac:dyDescent="0.45">
      <c r="A105" s="5"/>
      <c r="B105" s="2">
        <v>41010</v>
      </c>
      <c r="C105" s="2">
        <v>41132</v>
      </c>
      <c r="D105" s="4" t="s">
        <v>360</v>
      </c>
      <c r="E105" s="1"/>
      <c r="F105" s="1" t="s">
        <v>80</v>
      </c>
      <c r="G105" s="1" t="s">
        <v>19</v>
      </c>
      <c r="H105" s="1" t="s">
        <v>30</v>
      </c>
      <c r="I105" s="1">
        <v>4448.8320000000003</v>
      </c>
      <c r="J105" s="1">
        <v>8</v>
      </c>
      <c r="K105" s="1">
        <v>0.15</v>
      </c>
      <c r="L105" s="1">
        <v>1517.712</v>
      </c>
      <c r="M105" s="6" t="s">
        <v>42</v>
      </c>
    </row>
    <row r="106" spans="1:13" ht="31.25" customHeight="1" x14ac:dyDescent="0.45">
      <c r="A106" s="5" t="s">
        <v>361</v>
      </c>
      <c r="B106" s="1" t="s">
        <v>362</v>
      </c>
      <c r="C106" s="2">
        <v>40916</v>
      </c>
      <c r="D106" s="1" t="s">
        <v>249</v>
      </c>
      <c r="E106" s="1" t="s">
        <v>46</v>
      </c>
      <c r="F106" s="1" t="s">
        <v>130</v>
      </c>
      <c r="G106" s="1" t="s">
        <v>51</v>
      </c>
      <c r="H106" s="1" t="s">
        <v>38</v>
      </c>
      <c r="I106" s="1">
        <v>65.78</v>
      </c>
      <c r="J106" s="1">
        <v>11</v>
      </c>
      <c r="K106" s="1">
        <v>0</v>
      </c>
      <c r="L106" s="1">
        <v>32.232199999999999</v>
      </c>
      <c r="M106" s="6" t="s">
        <v>21</v>
      </c>
    </row>
    <row r="107" spans="1:13" ht="31.25" customHeight="1" x14ac:dyDescent="0.45">
      <c r="A107" s="5" t="s">
        <v>363</v>
      </c>
      <c r="B107" s="1" t="s">
        <v>364</v>
      </c>
      <c r="C107" s="1" t="s">
        <v>365</v>
      </c>
      <c r="D107" s="1" t="s">
        <v>366</v>
      </c>
      <c r="E107" s="1" t="s">
        <v>367</v>
      </c>
      <c r="F107" s="1" t="s">
        <v>69</v>
      </c>
      <c r="G107" s="1" t="s">
        <v>37</v>
      </c>
      <c r="H107" s="1" t="s">
        <v>30</v>
      </c>
      <c r="I107" s="1"/>
      <c r="J107" s="1">
        <v>9</v>
      </c>
      <c r="K107" s="1">
        <v>0</v>
      </c>
      <c r="L107" s="1">
        <v>914.76</v>
      </c>
      <c r="M107" s="6" t="s">
        <v>42</v>
      </c>
    </row>
    <row r="108" spans="1:13" ht="31.25" customHeight="1" x14ac:dyDescent="0.45">
      <c r="A108" s="5" t="s">
        <v>368</v>
      </c>
      <c r="B108" s="1" t="s">
        <v>369</v>
      </c>
      <c r="C108" s="1" t="s">
        <v>369</v>
      </c>
      <c r="D108" s="1" t="s">
        <v>370</v>
      </c>
      <c r="E108" s="1" t="s">
        <v>17</v>
      </c>
      <c r="F108" s="1" t="s">
        <v>18</v>
      </c>
      <c r="G108" s="1" t="s">
        <v>51</v>
      </c>
      <c r="H108" s="1" t="s">
        <v>50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6" t="s">
        <v>42</v>
      </c>
    </row>
    <row r="109" spans="1:13" ht="31.25" customHeight="1" x14ac:dyDescent="0.45">
      <c r="A109" s="5" t="s">
        <v>371</v>
      </c>
      <c r="B109" s="1" t="s">
        <v>372</v>
      </c>
      <c r="C109" s="1" t="s">
        <v>372</v>
      </c>
      <c r="D109" s="1" t="s">
        <v>373</v>
      </c>
      <c r="E109" s="1" t="s">
        <v>374</v>
      </c>
      <c r="F109" s="1" t="s">
        <v>80</v>
      </c>
      <c r="G109" s="1" t="s">
        <v>37</v>
      </c>
      <c r="H109" s="1" t="s">
        <v>188</v>
      </c>
      <c r="I109" s="1">
        <v>2570.8649999999998</v>
      </c>
      <c r="J109" s="1">
        <v>11</v>
      </c>
      <c r="K109" s="1">
        <v>0.5</v>
      </c>
      <c r="L109" s="1">
        <v>-2211.165</v>
      </c>
      <c r="M109" s="6" t="s">
        <v>42</v>
      </c>
    </row>
    <row r="110" spans="1:13" ht="31.25" customHeight="1" x14ac:dyDescent="0.45">
      <c r="A110" s="5" t="s">
        <v>375</v>
      </c>
      <c r="B110" s="1" t="s">
        <v>272</v>
      </c>
      <c r="C110" s="2">
        <v>41643</v>
      </c>
      <c r="D110" s="1" t="s">
        <v>249</v>
      </c>
      <c r="E110" s="1" t="s">
        <v>46</v>
      </c>
      <c r="F110" s="1" t="s">
        <v>192</v>
      </c>
      <c r="G110" s="1" t="s">
        <v>51</v>
      </c>
      <c r="H110" s="1" t="s">
        <v>84</v>
      </c>
      <c r="I110" s="1">
        <v>31.4</v>
      </c>
      <c r="J110" s="1">
        <v>2</v>
      </c>
      <c r="K110" s="1">
        <v>0</v>
      </c>
      <c r="L110" s="1"/>
      <c r="M110" s="6" t="s">
        <v>21</v>
      </c>
    </row>
    <row r="111" spans="1:13" ht="31.25" customHeight="1" x14ac:dyDescent="0.45">
      <c r="A111" s="5" t="s">
        <v>376</v>
      </c>
      <c r="B111" s="2">
        <v>41398</v>
      </c>
      <c r="C111" s="2">
        <v>41398</v>
      </c>
      <c r="D111" s="1" t="s">
        <v>377</v>
      </c>
      <c r="E111" s="1" t="s">
        <v>26</v>
      </c>
      <c r="F111" s="1" t="s">
        <v>80</v>
      </c>
      <c r="G111" s="1" t="s">
        <v>19</v>
      </c>
      <c r="H111" s="1" t="s">
        <v>27</v>
      </c>
      <c r="I111" s="1">
        <v>2875.77</v>
      </c>
      <c r="J111" s="1">
        <v>9</v>
      </c>
      <c r="K111" s="1">
        <v>0.5</v>
      </c>
      <c r="L111" s="1">
        <v>-1783.08</v>
      </c>
      <c r="M111" s="6" t="s">
        <v>42</v>
      </c>
    </row>
    <row r="112" spans="1:13" ht="31.25" customHeight="1" x14ac:dyDescent="0.45">
      <c r="A112" s="5" t="s">
        <v>378</v>
      </c>
      <c r="B112" s="1" t="s">
        <v>379</v>
      </c>
      <c r="C112" s="1" t="s">
        <v>380</v>
      </c>
      <c r="D112" s="1" t="s">
        <v>381</v>
      </c>
      <c r="E112" s="1" t="s">
        <v>252</v>
      </c>
      <c r="F112" s="1" t="s">
        <v>89</v>
      </c>
      <c r="G112" s="1" t="s">
        <v>37</v>
      </c>
      <c r="H112" s="1" t="s">
        <v>150</v>
      </c>
      <c r="I112" s="1">
        <v>1741.8</v>
      </c>
      <c r="J112" s="1" t="s">
        <v>71</v>
      </c>
      <c r="K112" s="1">
        <v>0</v>
      </c>
      <c r="L112" s="1">
        <v>261.24</v>
      </c>
      <c r="M112" s="6" t="s">
        <v>31</v>
      </c>
    </row>
    <row r="113" spans="1:13" ht="31.25" customHeight="1" x14ac:dyDescent="0.45">
      <c r="A113" s="5" t="s">
        <v>382</v>
      </c>
      <c r="B113" s="1" t="s">
        <v>383</v>
      </c>
      <c r="C113" s="1" t="s">
        <v>384</v>
      </c>
      <c r="D113" s="1" t="s">
        <v>385</v>
      </c>
      <c r="E113" s="1" t="s">
        <v>17</v>
      </c>
      <c r="F113" s="1" t="s">
        <v>18</v>
      </c>
      <c r="G113" s="1" t="s">
        <v>19</v>
      </c>
      <c r="H113" s="1" t="s">
        <v>30</v>
      </c>
      <c r="I113" s="1">
        <v>1601.64</v>
      </c>
      <c r="J113" s="1">
        <v>5</v>
      </c>
      <c r="K113" s="1">
        <v>0.1</v>
      </c>
      <c r="L113" s="1">
        <v>587.19000000000005</v>
      </c>
      <c r="M113" s="6" t="s">
        <v>31</v>
      </c>
    </row>
    <row r="114" spans="1:13" ht="31.25" customHeight="1" x14ac:dyDescent="0.45">
      <c r="A114" s="5" t="s">
        <v>386</v>
      </c>
      <c r="B114" s="1" t="s">
        <v>387</v>
      </c>
      <c r="C114" s="1" t="s">
        <v>388</v>
      </c>
      <c r="D114" s="1" t="s">
        <v>389</v>
      </c>
      <c r="E114" s="1" t="s">
        <v>74</v>
      </c>
      <c r="F114" s="1" t="s">
        <v>103</v>
      </c>
      <c r="G114" s="1" t="s">
        <v>51</v>
      </c>
      <c r="H114" s="1" t="s">
        <v>188</v>
      </c>
      <c r="I114" s="1">
        <v>3670.8</v>
      </c>
      <c r="J114" s="1">
        <v>7</v>
      </c>
      <c r="K114" s="1"/>
      <c r="L114" s="1">
        <v>367.08</v>
      </c>
      <c r="M114" s="6" t="s">
        <v>42</v>
      </c>
    </row>
    <row r="115" spans="1:13" ht="31.25" customHeight="1" x14ac:dyDescent="0.45">
      <c r="A115" s="5" t="s">
        <v>390</v>
      </c>
      <c r="B115" s="2">
        <v>42043</v>
      </c>
      <c r="C115" s="2">
        <v>42224</v>
      </c>
      <c r="D115" s="1" t="s">
        <v>249</v>
      </c>
      <c r="E115" s="1" t="s">
        <v>46</v>
      </c>
      <c r="F115" s="4" t="s">
        <v>47</v>
      </c>
      <c r="G115" s="1"/>
      <c r="H115" s="1" t="s">
        <v>38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6" t="s">
        <v>21</v>
      </c>
    </row>
    <row r="116" spans="1:13" ht="31.25" customHeight="1" x14ac:dyDescent="0.45">
      <c r="A116" s="5"/>
      <c r="B116" s="1" t="s">
        <v>391</v>
      </c>
      <c r="C116" s="1" t="s">
        <v>392</v>
      </c>
      <c r="D116" s="1" t="s">
        <v>393</v>
      </c>
      <c r="E116" s="1" t="s">
        <v>26</v>
      </c>
      <c r="F116" s="1" t="s">
        <v>394</v>
      </c>
      <c r="G116" s="1" t="s">
        <v>19</v>
      </c>
      <c r="H116" s="1" t="s">
        <v>84</v>
      </c>
      <c r="I116" s="1">
        <v>1900.95</v>
      </c>
      <c r="J116" s="1">
        <v>5</v>
      </c>
      <c r="K116" s="1">
        <v>0</v>
      </c>
      <c r="L116" s="1">
        <v>589.20000000000005</v>
      </c>
      <c r="M116" s="6" t="s">
        <v>42</v>
      </c>
    </row>
    <row r="117" spans="1:13" ht="31.25" customHeight="1" x14ac:dyDescent="0.45">
      <c r="A117" s="5" t="s">
        <v>248</v>
      </c>
      <c r="B117" s="2">
        <v>42064</v>
      </c>
      <c r="C117" s="2">
        <v>42125</v>
      </c>
      <c r="D117" s="1" t="s">
        <v>249</v>
      </c>
      <c r="E117" s="1" t="s">
        <v>46</v>
      </c>
      <c r="F117" s="1" t="s">
        <v>192</v>
      </c>
      <c r="G117" s="1" t="s">
        <v>51</v>
      </c>
      <c r="H117" s="1" t="s">
        <v>150</v>
      </c>
      <c r="I117" s="1">
        <v>15.66</v>
      </c>
      <c r="J117" s="1">
        <v>5</v>
      </c>
      <c r="K117" s="1">
        <v>0.7</v>
      </c>
      <c r="L117" s="1">
        <v>-12.528</v>
      </c>
      <c r="M117" s="6" t="s">
        <v>42</v>
      </c>
    </row>
    <row r="118" spans="1:13" ht="31.25" customHeight="1" x14ac:dyDescent="0.45">
      <c r="A118" s="5" t="s">
        <v>395</v>
      </c>
      <c r="B118" s="1" t="s">
        <v>396</v>
      </c>
      <c r="C118" s="1" t="s">
        <v>82</v>
      </c>
      <c r="D118" s="1" t="s">
        <v>397</v>
      </c>
      <c r="E118" s="1" t="s">
        <v>79</v>
      </c>
      <c r="F118" s="1" t="s">
        <v>80</v>
      </c>
      <c r="G118" s="1" t="s">
        <v>37</v>
      </c>
      <c r="H118" s="1" t="s">
        <v>38</v>
      </c>
      <c r="I118" s="1">
        <v>4544.1000000000004</v>
      </c>
      <c r="J118" s="1">
        <v>11</v>
      </c>
      <c r="K118" s="1">
        <v>0.1</v>
      </c>
      <c r="L118" s="1">
        <v>1868.13</v>
      </c>
      <c r="M118" s="6" t="s">
        <v>21</v>
      </c>
    </row>
    <row r="119" spans="1:13" ht="31.25" customHeight="1" x14ac:dyDescent="0.45">
      <c r="A119" s="5" t="s">
        <v>398</v>
      </c>
      <c r="B119" s="1" t="s">
        <v>399</v>
      </c>
      <c r="C119" s="2">
        <v>41676</v>
      </c>
      <c r="D119" s="1" t="s">
        <v>400</v>
      </c>
      <c r="E119" s="1" t="s">
        <v>74</v>
      </c>
      <c r="F119" s="1" t="s">
        <v>103</v>
      </c>
      <c r="G119" s="1" t="s">
        <v>37</v>
      </c>
      <c r="H119" s="1" t="s">
        <v>401</v>
      </c>
      <c r="I119" s="1">
        <v>1455.12</v>
      </c>
      <c r="J119" s="1">
        <v>4</v>
      </c>
      <c r="K119" s="1">
        <v>0</v>
      </c>
      <c r="L119" s="1">
        <v>116.4</v>
      </c>
      <c r="M119" s="6" t="s">
        <v>31</v>
      </c>
    </row>
    <row r="120" spans="1:13" ht="31.25" customHeight="1" x14ac:dyDescent="0.45">
      <c r="A120" s="5" t="s">
        <v>402</v>
      </c>
      <c r="B120" s="2">
        <v>41649</v>
      </c>
      <c r="C120" s="2">
        <v>41680</v>
      </c>
      <c r="D120" s="1" t="s">
        <v>403</v>
      </c>
      <c r="E120" s="1" t="s">
        <v>17</v>
      </c>
      <c r="F120" s="1" t="s">
        <v>18</v>
      </c>
      <c r="G120" s="1" t="s">
        <v>19</v>
      </c>
      <c r="H120" s="1" t="s">
        <v>27</v>
      </c>
      <c r="I120" s="1">
        <v>1943.19</v>
      </c>
      <c r="J120" s="1">
        <v>6</v>
      </c>
      <c r="K120" s="1">
        <v>0.1</v>
      </c>
      <c r="L120" s="1">
        <v>258.93</v>
      </c>
      <c r="M120" s="6" t="s">
        <v>42</v>
      </c>
    </row>
    <row r="121" spans="1:13" ht="31.25" customHeight="1" x14ac:dyDescent="0.45">
      <c r="A121" s="5" t="s">
        <v>404</v>
      </c>
      <c r="B121" s="2">
        <v>42196</v>
      </c>
      <c r="C121" s="1" t="s">
        <v>405</v>
      </c>
      <c r="D121" s="1" t="s">
        <v>366</v>
      </c>
      <c r="E121" s="1" t="s">
        <v>46</v>
      </c>
      <c r="F121" s="1" t="s">
        <v>49</v>
      </c>
      <c r="G121" s="1" t="s">
        <v>37</v>
      </c>
      <c r="H121" s="1" t="s">
        <v>188</v>
      </c>
      <c r="I121" s="1">
        <v>2036.86</v>
      </c>
      <c r="J121" s="1">
        <v>7</v>
      </c>
      <c r="K121" s="1">
        <v>0</v>
      </c>
      <c r="L121" s="1">
        <v>366.63479999999998</v>
      </c>
      <c r="M121" s="6" t="s">
        <v>85</v>
      </c>
    </row>
    <row r="122" spans="1:13" ht="31.25" customHeight="1" x14ac:dyDescent="0.45">
      <c r="A122" s="5" t="s">
        <v>406</v>
      </c>
      <c r="B122" s="2">
        <v>41679</v>
      </c>
      <c r="C122" s="2">
        <v>41738</v>
      </c>
      <c r="D122" s="1" t="s">
        <v>366</v>
      </c>
      <c r="E122" s="1" t="s">
        <v>46</v>
      </c>
      <c r="F122" s="1" t="s">
        <v>224</v>
      </c>
      <c r="G122" s="1" t="s">
        <v>51</v>
      </c>
      <c r="H122" s="1" t="s">
        <v>38</v>
      </c>
      <c r="I122" s="1" t="s">
        <v>205</v>
      </c>
      <c r="J122" s="1">
        <v>4</v>
      </c>
      <c r="K122" s="1">
        <v>0.2</v>
      </c>
      <c r="L122" s="1">
        <v>1415.4295999999999</v>
      </c>
      <c r="M122" s="6" t="s">
        <v>31</v>
      </c>
    </row>
    <row r="123" spans="1:13" ht="31.25" customHeight="1" x14ac:dyDescent="0.45">
      <c r="A123" s="5" t="s">
        <v>407</v>
      </c>
      <c r="B123" s="2">
        <v>41955</v>
      </c>
      <c r="C123" s="1" t="s">
        <v>323</v>
      </c>
      <c r="D123" s="1" t="s">
        <v>102</v>
      </c>
      <c r="E123" s="1" t="s">
        <v>17</v>
      </c>
      <c r="F123" s="1" t="s">
        <v>18</v>
      </c>
      <c r="G123" s="1" t="s">
        <v>19</v>
      </c>
      <c r="H123" s="1" t="s">
        <v>150</v>
      </c>
      <c r="I123" s="1">
        <v>1695.87</v>
      </c>
      <c r="J123" s="1">
        <v>5</v>
      </c>
      <c r="K123" s="1">
        <v>0.1</v>
      </c>
      <c r="L123" s="1">
        <v>-37.83</v>
      </c>
      <c r="M123" s="6" t="s">
        <v>31</v>
      </c>
    </row>
    <row r="124" spans="1:13" ht="31.25" customHeight="1" x14ac:dyDescent="0.45">
      <c r="A124" s="5" t="s">
        <v>408</v>
      </c>
      <c r="B124" s="1" t="s">
        <v>409</v>
      </c>
      <c r="C124" s="1" t="s">
        <v>410</v>
      </c>
      <c r="D124" s="1" t="s">
        <v>318</v>
      </c>
      <c r="E124" s="1" t="s">
        <v>79</v>
      </c>
      <c r="F124" s="1" t="s">
        <v>80</v>
      </c>
      <c r="G124" s="1" t="s">
        <v>19</v>
      </c>
      <c r="H124" s="1" t="s">
        <v>52</v>
      </c>
      <c r="I124" s="1">
        <v>1505.979</v>
      </c>
      <c r="J124" s="1">
        <v>6</v>
      </c>
      <c r="K124" s="1">
        <v>0.15</v>
      </c>
      <c r="L124" s="1">
        <v>-265.76100000000002</v>
      </c>
      <c r="M124" s="6" t="s">
        <v>31</v>
      </c>
    </row>
    <row r="125" spans="1:13" ht="31.25" customHeight="1" x14ac:dyDescent="0.45">
      <c r="A125" s="5" t="s">
        <v>411</v>
      </c>
      <c r="B125" s="1" t="s">
        <v>237</v>
      </c>
      <c r="C125" s="1" t="s">
        <v>202</v>
      </c>
      <c r="D125" s="1" t="s">
        <v>412</v>
      </c>
      <c r="E125" s="1" t="s">
        <v>413</v>
      </c>
      <c r="F125" s="1" t="s">
        <v>172</v>
      </c>
      <c r="G125" s="1" t="s">
        <v>19</v>
      </c>
      <c r="H125" s="1" t="s">
        <v>38</v>
      </c>
      <c r="I125" s="1">
        <v>1954.17</v>
      </c>
      <c r="J125" s="1">
        <v>3</v>
      </c>
      <c r="K125" s="1">
        <v>0</v>
      </c>
      <c r="L125" s="1">
        <v>312.66000000000003</v>
      </c>
      <c r="M125" s="6" t="s">
        <v>31</v>
      </c>
    </row>
    <row r="126" spans="1:13" ht="31.25" customHeight="1" x14ac:dyDescent="0.45">
      <c r="A126" s="5" t="s">
        <v>404</v>
      </c>
      <c r="B126" s="2">
        <v>42196</v>
      </c>
      <c r="C126" s="1" t="s">
        <v>405</v>
      </c>
      <c r="D126" s="1" t="s">
        <v>366</v>
      </c>
      <c r="E126" s="1" t="s">
        <v>46</v>
      </c>
      <c r="F126" s="1" t="s">
        <v>49</v>
      </c>
      <c r="G126" s="1" t="s">
        <v>37</v>
      </c>
      <c r="H126" s="1" t="s">
        <v>38</v>
      </c>
      <c r="I126" s="1">
        <v>449.56799999999998</v>
      </c>
      <c r="J126" s="1">
        <v>2</v>
      </c>
      <c r="K126" s="1">
        <v>0.2</v>
      </c>
      <c r="L126" s="1">
        <v>-73.0548</v>
      </c>
      <c r="M126" s="6" t="s">
        <v>85</v>
      </c>
    </row>
    <row r="127" spans="1:13" ht="31.25" customHeight="1" x14ac:dyDescent="0.45">
      <c r="A127" s="5" t="s">
        <v>414</v>
      </c>
      <c r="B127" s="1" t="s">
        <v>415</v>
      </c>
      <c r="C127" s="1" t="s">
        <v>416</v>
      </c>
      <c r="D127" s="1" t="s">
        <v>366</v>
      </c>
      <c r="E127" s="1" t="s">
        <v>46</v>
      </c>
      <c r="F127" s="1" t="s">
        <v>192</v>
      </c>
      <c r="G127" s="1" t="s">
        <v>51</v>
      </c>
      <c r="H127" s="1" t="s">
        <v>30</v>
      </c>
      <c r="I127" s="1">
        <v>160.32</v>
      </c>
      <c r="J127" s="1">
        <v>2</v>
      </c>
      <c r="K127" s="1">
        <v>0</v>
      </c>
      <c r="L127" s="1">
        <v>291.20200740000001</v>
      </c>
      <c r="M127" s="6" t="s">
        <v>21</v>
      </c>
    </row>
    <row r="128" spans="1:13" ht="31.25" customHeight="1" x14ac:dyDescent="0.45">
      <c r="A128" s="5"/>
      <c r="B128" s="2">
        <v>42196</v>
      </c>
      <c r="C128" s="1" t="s">
        <v>405</v>
      </c>
      <c r="D128" s="1"/>
      <c r="E128" s="1"/>
      <c r="F128" s="1" t="s">
        <v>49</v>
      </c>
      <c r="G128" s="1" t="s">
        <v>19</v>
      </c>
      <c r="H128" s="1" t="s">
        <v>50</v>
      </c>
      <c r="I128" s="1">
        <v>108.96</v>
      </c>
      <c r="J128" s="1" t="s">
        <v>71</v>
      </c>
      <c r="K128" s="1">
        <v>0</v>
      </c>
      <c r="L128" s="1">
        <v>32.688000000000002</v>
      </c>
      <c r="M128" s="6" t="s">
        <v>85</v>
      </c>
    </row>
    <row r="129" spans="1:13" ht="31.25" customHeight="1" x14ac:dyDescent="0.45">
      <c r="A129" s="5" t="s">
        <v>417</v>
      </c>
      <c r="B129" s="1" t="s">
        <v>211</v>
      </c>
      <c r="C129" s="1" t="s">
        <v>211</v>
      </c>
      <c r="D129" s="1" t="s">
        <v>418</v>
      </c>
      <c r="E129" s="1" t="s">
        <v>419</v>
      </c>
      <c r="F129" s="1" t="s">
        <v>69</v>
      </c>
      <c r="G129" s="1" t="s">
        <v>19</v>
      </c>
      <c r="H129" s="1" t="s">
        <v>38</v>
      </c>
      <c r="I129" s="1">
        <v>1213.18876</v>
      </c>
      <c r="J129" s="1">
        <v>7</v>
      </c>
      <c r="K129" s="1">
        <v>2E-3</v>
      </c>
      <c r="L129" s="1">
        <v>508.00876</v>
      </c>
      <c r="M129" s="6" t="s">
        <v>31</v>
      </c>
    </row>
    <row r="130" spans="1:13" ht="31.25" customHeight="1" x14ac:dyDescent="0.45">
      <c r="A130" s="5" t="s">
        <v>420</v>
      </c>
      <c r="B130" s="1" t="s">
        <v>289</v>
      </c>
      <c r="C130" s="1" t="s">
        <v>336</v>
      </c>
      <c r="D130" s="1" t="s">
        <v>421</v>
      </c>
      <c r="E130" s="1" t="s">
        <v>134</v>
      </c>
      <c r="F130" s="1" t="s">
        <v>58</v>
      </c>
      <c r="G130" s="1" t="s">
        <v>19</v>
      </c>
      <c r="H130" s="1" t="s">
        <v>27</v>
      </c>
      <c r="I130" s="1">
        <v>1590.6</v>
      </c>
      <c r="J130" s="1">
        <v>5</v>
      </c>
      <c r="K130" s="1"/>
      <c r="L130" s="1">
        <v>572.54999999999995</v>
      </c>
      <c r="M130" s="6" t="s">
        <v>31</v>
      </c>
    </row>
    <row r="131" spans="1:13" ht="31.25" customHeight="1" x14ac:dyDescent="0.45">
      <c r="A131" s="5"/>
      <c r="B131" s="2">
        <v>41831</v>
      </c>
      <c r="C131" s="2">
        <v>41923</v>
      </c>
      <c r="D131" s="1" t="s">
        <v>422</v>
      </c>
      <c r="E131" s="1" t="s">
        <v>74</v>
      </c>
      <c r="F131" s="1" t="s">
        <v>103</v>
      </c>
      <c r="G131" s="1" t="s">
        <v>19</v>
      </c>
      <c r="H131" s="1" t="s">
        <v>38</v>
      </c>
      <c r="I131" s="1"/>
      <c r="J131" s="1">
        <v>9</v>
      </c>
      <c r="K131" s="1">
        <v>0</v>
      </c>
      <c r="L131" s="1">
        <v>1025.46</v>
      </c>
      <c r="M131" s="6" t="s">
        <v>31</v>
      </c>
    </row>
    <row r="132" spans="1:13" ht="31.25" customHeight="1" x14ac:dyDescent="0.45">
      <c r="A132" s="5" t="s">
        <v>423</v>
      </c>
      <c r="B132" s="1" t="s">
        <v>424</v>
      </c>
      <c r="C132" s="1" t="s">
        <v>425</v>
      </c>
      <c r="D132" s="1" t="s">
        <v>426</v>
      </c>
      <c r="E132" s="1" t="s">
        <v>171</v>
      </c>
      <c r="F132" s="1" t="s">
        <v>172</v>
      </c>
      <c r="G132" s="1" t="s">
        <v>37</v>
      </c>
      <c r="H132" s="1" t="s">
        <v>38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6" t="s">
        <v>42</v>
      </c>
    </row>
    <row r="133" spans="1:13" ht="31.25" customHeight="1" x14ac:dyDescent="0.45">
      <c r="A133" s="5" t="s">
        <v>427</v>
      </c>
      <c r="B133" s="1" t="s">
        <v>428</v>
      </c>
      <c r="C133" s="1" t="s">
        <v>428</v>
      </c>
      <c r="D133" s="1" t="s">
        <v>257</v>
      </c>
      <c r="E133" s="1" t="s">
        <v>429</v>
      </c>
      <c r="F133" s="1" t="s">
        <v>172</v>
      </c>
      <c r="G133" s="1" t="s">
        <v>19</v>
      </c>
      <c r="H133" s="1" t="s">
        <v>20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6" t="s">
        <v>42</v>
      </c>
    </row>
    <row r="134" spans="1:13" ht="31.25" customHeight="1" x14ac:dyDescent="0.45">
      <c r="A134" s="5"/>
      <c r="B134" s="2">
        <v>42166</v>
      </c>
      <c r="C134" s="2">
        <v>42227</v>
      </c>
      <c r="D134" s="1" t="s">
        <v>366</v>
      </c>
      <c r="E134" s="1" t="s">
        <v>46</v>
      </c>
      <c r="F134" s="1" t="s">
        <v>47</v>
      </c>
      <c r="G134" s="1" t="s">
        <v>51</v>
      </c>
      <c r="H134" s="1" t="s">
        <v>188</v>
      </c>
      <c r="I134" s="1">
        <v>67.8</v>
      </c>
      <c r="J134" s="1">
        <v>10</v>
      </c>
      <c r="K134" s="1">
        <v>0</v>
      </c>
      <c r="L134" s="1">
        <v>31.187999999999999</v>
      </c>
      <c r="M134" s="6" t="s">
        <v>42</v>
      </c>
    </row>
    <row r="135" spans="1:13" ht="31.25" customHeight="1" x14ac:dyDescent="0.45">
      <c r="A135" s="5" t="s">
        <v>430</v>
      </c>
      <c r="B135" s="2">
        <v>41548</v>
      </c>
      <c r="C135" s="1" t="s">
        <v>431</v>
      </c>
      <c r="D135" s="1" t="s">
        <v>344</v>
      </c>
      <c r="E135" s="1" t="s">
        <v>171</v>
      </c>
      <c r="F135" s="1" t="s">
        <v>172</v>
      </c>
      <c r="G135" s="1" t="s">
        <v>37</v>
      </c>
      <c r="H135" s="1" t="s">
        <v>30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6" t="s">
        <v>42</v>
      </c>
    </row>
    <row r="136" spans="1:13" ht="31.25" customHeight="1" x14ac:dyDescent="0.45">
      <c r="A136" s="5" t="s">
        <v>432</v>
      </c>
      <c r="B136" s="1" t="s">
        <v>23</v>
      </c>
      <c r="C136" s="1" t="s">
        <v>24</v>
      </c>
      <c r="D136" s="1"/>
      <c r="E136" s="1" t="s">
        <v>111</v>
      </c>
      <c r="F136" s="1" t="s">
        <v>112</v>
      </c>
      <c r="G136" s="1" t="s">
        <v>51</v>
      </c>
      <c r="H136" s="1" t="s">
        <v>27</v>
      </c>
      <c r="I136" s="1" t="s">
        <v>205</v>
      </c>
      <c r="J136" s="1"/>
      <c r="K136" s="1">
        <v>0</v>
      </c>
      <c r="L136" s="1">
        <v>785.82</v>
      </c>
      <c r="M136" s="6" t="s">
        <v>21</v>
      </c>
    </row>
    <row r="137" spans="1:13" ht="31.25" customHeight="1" x14ac:dyDescent="0.45">
      <c r="A137" s="5" t="s">
        <v>433</v>
      </c>
      <c r="B137" s="1" t="s">
        <v>434</v>
      </c>
      <c r="C137" s="1" t="s">
        <v>435</v>
      </c>
      <c r="D137" s="1" t="s">
        <v>45</v>
      </c>
      <c r="E137" s="1" t="s">
        <v>74</v>
      </c>
      <c r="F137" s="1"/>
      <c r="G137" s="1" t="s">
        <v>19</v>
      </c>
      <c r="H137" s="1" t="s">
        <v>188</v>
      </c>
      <c r="I137" s="1">
        <v>1024.68</v>
      </c>
      <c r="J137" s="1">
        <v>8</v>
      </c>
      <c r="K137" s="1">
        <v>0.5</v>
      </c>
      <c r="L137" s="1"/>
      <c r="M137" s="6"/>
    </row>
    <row r="138" spans="1:13" ht="31.25" customHeight="1" x14ac:dyDescent="0.45">
      <c r="A138" s="10" t="s">
        <v>436</v>
      </c>
      <c r="B138" s="1"/>
      <c r="C138" s="2">
        <v>42227</v>
      </c>
      <c r="D138" s="1" t="s">
        <v>366</v>
      </c>
      <c r="E138" s="1" t="s">
        <v>46</v>
      </c>
      <c r="F138" s="1" t="s">
        <v>47</v>
      </c>
      <c r="G138" s="1" t="s">
        <v>51</v>
      </c>
      <c r="H138" s="1" t="s">
        <v>84</v>
      </c>
      <c r="I138" s="1">
        <v>167.94</v>
      </c>
      <c r="J138" s="1">
        <v>3</v>
      </c>
      <c r="K138" s="1">
        <v>0</v>
      </c>
      <c r="L138" s="1">
        <v>82.290599999999998</v>
      </c>
      <c r="M138" s="6" t="s">
        <v>42</v>
      </c>
    </row>
    <row r="139" spans="1:13" ht="31.25" customHeight="1" x14ac:dyDescent="0.45">
      <c r="A139" s="5" t="s">
        <v>406</v>
      </c>
      <c r="B139" s="2">
        <v>41679</v>
      </c>
      <c r="C139" s="2">
        <v>41738</v>
      </c>
      <c r="D139" s="1" t="s">
        <v>366</v>
      </c>
      <c r="E139" s="1" t="s">
        <v>46</v>
      </c>
      <c r="F139" s="1" t="s">
        <v>130</v>
      </c>
      <c r="G139" s="1" t="s">
        <v>51</v>
      </c>
      <c r="H139" s="1" t="s">
        <v>150</v>
      </c>
      <c r="I139" s="1"/>
      <c r="J139" s="1">
        <v>2</v>
      </c>
      <c r="K139" s="1">
        <v>0</v>
      </c>
      <c r="L139" s="1">
        <v>83.822606759999999</v>
      </c>
      <c r="M139" s="6" t="s">
        <v>31</v>
      </c>
    </row>
    <row r="140" spans="1:13" ht="31.25" customHeight="1" x14ac:dyDescent="0.45">
      <c r="A140" s="5" t="s">
        <v>437</v>
      </c>
      <c r="B140" s="2">
        <v>41437</v>
      </c>
      <c r="C140" s="2">
        <v>41498</v>
      </c>
      <c r="D140" s="1" t="s">
        <v>438</v>
      </c>
      <c r="E140" s="1" t="s">
        <v>68</v>
      </c>
      <c r="F140" s="1" t="s">
        <v>69</v>
      </c>
      <c r="G140" s="1" t="s">
        <v>19</v>
      </c>
      <c r="H140" s="1" t="s">
        <v>27</v>
      </c>
      <c r="I140" s="1">
        <v>2297.96</v>
      </c>
      <c r="J140" s="1">
        <v>14</v>
      </c>
      <c r="K140" s="1">
        <v>0</v>
      </c>
      <c r="L140" s="1">
        <v>988.12</v>
      </c>
      <c r="M140" s="6" t="s">
        <v>42</v>
      </c>
    </row>
    <row r="141" spans="1:13" ht="31.25" customHeight="1" x14ac:dyDescent="0.45">
      <c r="A141" s="5" t="s">
        <v>439</v>
      </c>
      <c r="B141" s="2">
        <v>41768</v>
      </c>
      <c r="C141" s="2">
        <v>41829</v>
      </c>
      <c r="D141" s="1" t="s">
        <v>440</v>
      </c>
      <c r="E141" s="1" t="s">
        <v>88</v>
      </c>
      <c r="F141" s="1" t="s">
        <v>89</v>
      </c>
      <c r="G141" s="1" t="s">
        <v>19</v>
      </c>
      <c r="H141" s="1" t="s">
        <v>150</v>
      </c>
      <c r="I141" s="1">
        <v>2671.41</v>
      </c>
      <c r="J141" s="1">
        <v>7</v>
      </c>
      <c r="K141" s="1">
        <v>0</v>
      </c>
      <c r="L141" s="1"/>
      <c r="M141" s="6" t="s">
        <v>42</v>
      </c>
    </row>
    <row r="142" spans="1:13" ht="31.25" customHeight="1" x14ac:dyDescent="0.45">
      <c r="A142" s="5" t="s">
        <v>441</v>
      </c>
      <c r="B142" s="1" t="s">
        <v>211</v>
      </c>
      <c r="C142" s="1" t="s">
        <v>442</v>
      </c>
      <c r="D142" s="1" t="s">
        <v>443</v>
      </c>
      <c r="E142" s="1" t="s">
        <v>444</v>
      </c>
      <c r="F142" s="1" t="s">
        <v>97</v>
      </c>
      <c r="G142" s="1" t="s">
        <v>19</v>
      </c>
      <c r="H142" s="1" t="s">
        <v>20</v>
      </c>
      <c r="I142" s="1">
        <v>3834</v>
      </c>
      <c r="J142" s="1">
        <v>6</v>
      </c>
      <c r="K142" s="1">
        <v>0</v>
      </c>
      <c r="L142" s="1">
        <v>268.38</v>
      </c>
      <c r="M142" s="6" t="s">
        <v>42</v>
      </c>
    </row>
    <row r="143" spans="1:13" ht="31.25" customHeight="1" x14ac:dyDescent="0.45">
      <c r="A143" s="5" t="s">
        <v>406</v>
      </c>
      <c r="B143" s="2">
        <v>41679</v>
      </c>
      <c r="C143" s="2">
        <v>41738</v>
      </c>
      <c r="D143" s="1" t="s">
        <v>366</v>
      </c>
      <c r="E143" s="1" t="s">
        <v>445</v>
      </c>
      <c r="F143" s="1" t="s">
        <v>130</v>
      </c>
      <c r="G143" s="1" t="s">
        <v>51</v>
      </c>
      <c r="H143" s="1" t="s">
        <v>38</v>
      </c>
      <c r="I143" s="1">
        <v>49.12</v>
      </c>
      <c r="J143" s="1">
        <v>4</v>
      </c>
      <c r="K143" s="1">
        <v>0</v>
      </c>
      <c r="L143" s="1">
        <v>23.086400000000001</v>
      </c>
      <c r="M143" s="6" t="s">
        <v>31</v>
      </c>
    </row>
    <row r="144" spans="1:13" ht="31.25" customHeight="1" x14ac:dyDescent="0.45">
      <c r="A144" s="5" t="s">
        <v>446</v>
      </c>
      <c r="B144" s="2">
        <v>41341</v>
      </c>
      <c r="C144" s="2">
        <v>41494</v>
      </c>
      <c r="D144" s="1" t="s">
        <v>447</v>
      </c>
      <c r="E144" s="1" t="s">
        <v>171</v>
      </c>
      <c r="F144" s="1" t="s">
        <v>172</v>
      </c>
      <c r="G144" s="1" t="s">
        <v>51</v>
      </c>
      <c r="H144" s="1" t="s">
        <v>30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6" t="s">
        <v>42</v>
      </c>
    </row>
    <row r="145" spans="1:13" ht="31.25" customHeight="1" x14ac:dyDescent="0.45">
      <c r="A145" s="5" t="s">
        <v>448</v>
      </c>
      <c r="B145" s="1"/>
      <c r="C145" s="2">
        <v>42320</v>
      </c>
      <c r="D145" s="1" t="s">
        <v>449</v>
      </c>
      <c r="E145" s="1" t="s">
        <v>17</v>
      </c>
      <c r="F145" s="1" t="s">
        <v>18</v>
      </c>
      <c r="G145" s="1" t="s">
        <v>19</v>
      </c>
      <c r="H145" s="1" t="s">
        <v>27</v>
      </c>
      <c r="I145" s="1">
        <v>1725.462</v>
      </c>
      <c r="J145" s="1">
        <v>3</v>
      </c>
      <c r="K145" s="1">
        <v>0.1</v>
      </c>
      <c r="L145" s="1">
        <v>747.61199999999997</v>
      </c>
      <c r="M145" s="6" t="s">
        <v>42</v>
      </c>
    </row>
    <row r="146" spans="1:13" ht="31.25" customHeight="1" x14ac:dyDescent="0.45">
      <c r="A146" s="5" t="s">
        <v>450</v>
      </c>
      <c r="B146" s="1" t="s">
        <v>451</v>
      </c>
      <c r="C146" s="1" t="s">
        <v>452</v>
      </c>
      <c r="D146" s="1" t="s">
        <v>453</v>
      </c>
      <c r="E146" s="1" t="s">
        <v>74</v>
      </c>
      <c r="F146" s="1" t="s">
        <v>103</v>
      </c>
      <c r="G146" s="1" t="s">
        <v>19</v>
      </c>
      <c r="H146" s="1" t="s">
        <v>84</v>
      </c>
      <c r="I146" s="1">
        <v>1583.7</v>
      </c>
      <c r="J146" s="1">
        <v>5</v>
      </c>
      <c r="K146" s="1">
        <v>0</v>
      </c>
      <c r="L146" s="1">
        <v>174.15</v>
      </c>
      <c r="M146" s="6" t="s">
        <v>31</v>
      </c>
    </row>
    <row r="147" spans="1:13" ht="31.25" customHeight="1" x14ac:dyDescent="0.45">
      <c r="A147" s="5" t="s">
        <v>454</v>
      </c>
      <c r="B147" s="2">
        <v>42221</v>
      </c>
      <c r="C147" s="1" t="s">
        <v>455</v>
      </c>
      <c r="D147" s="1"/>
      <c r="E147" s="1" t="s">
        <v>46</v>
      </c>
      <c r="F147" s="1" t="s">
        <v>49</v>
      </c>
      <c r="G147" s="1" t="s">
        <v>19</v>
      </c>
      <c r="H147" s="1" t="s">
        <v>30</v>
      </c>
      <c r="I147" s="1">
        <v>79.989999999999995</v>
      </c>
      <c r="J147" s="1">
        <v>1</v>
      </c>
      <c r="K147" s="1" t="s">
        <v>294</v>
      </c>
      <c r="L147" s="1">
        <v>28.796399999999998</v>
      </c>
      <c r="M147" s="6" t="s">
        <v>21</v>
      </c>
    </row>
    <row r="148" spans="1:13" ht="31.25" customHeight="1" x14ac:dyDescent="0.45">
      <c r="A148" s="5" t="s">
        <v>456</v>
      </c>
      <c r="B148" s="1" t="s">
        <v>457</v>
      </c>
      <c r="C148" s="1" t="s">
        <v>458</v>
      </c>
      <c r="D148" s="1" t="s">
        <v>459</v>
      </c>
      <c r="E148" s="1" t="s">
        <v>17</v>
      </c>
      <c r="F148" s="1" t="s">
        <v>18</v>
      </c>
      <c r="G148" s="1" t="s">
        <v>37</v>
      </c>
      <c r="H148" s="1" t="s">
        <v>38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6" t="s">
        <v>42</v>
      </c>
    </row>
    <row r="149" spans="1:13" ht="31.25" customHeight="1" x14ac:dyDescent="0.45">
      <c r="A149" s="5"/>
      <c r="B149" s="2">
        <v>41248</v>
      </c>
      <c r="C149" s="1" t="s">
        <v>460</v>
      </c>
      <c r="D149" s="1" t="s">
        <v>334</v>
      </c>
      <c r="E149" s="1" t="s">
        <v>234</v>
      </c>
      <c r="F149" s="1" t="s">
        <v>58</v>
      </c>
      <c r="G149" s="1" t="s">
        <v>19</v>
      </c>
      <c r="H149" s="1" t="s">
        <v>27</v>
      </c>
      <c r="I149" s="1">
        <v>3078.72</v>
      </c>
      <c r="J149" s="1">
        <v>12</v>
      </c>
      <c r="K149" s="1">
        <v>0</v>
      </c>
      <c r="L149" s="1">
        <v>523.08000000000004</v>
      </c>
      <c r="M149" s="6" t="s">
        <v>42</v>
      </c>
    </row>
    <row r="150" spans="1:13" ht="31.25" customHeight="1" x14ac:dyDescent="0.45">
      <c r="A150" s="5" t="s">
        <v>461</v>
      </c>
      <c r="B150" s="2">
        <v>40950</v>
      </c>
      <c r="C150" s="2">
        <v>41040</v>
      </c>
      <c r="D150" s="1" t="s">
        <v>462</v>
      </c>
      <c r="E150" s="1" t="s">
        <v>374</v>
      </c>
      <c r="F150" s="1" t="s">
        <v>124</v>
      </c>
      <c r="G150" s="1" t="s">
        <v>51</v>
      </c>
      <c r="H150" s="1" t="s">
        <v>188</v>
      </c>
      <c r="I150" s="1">
        <v>1983.135</v>
      </c>
      <c r="J150" s="1"/>
      <c r="K150" s="1">
        <v>0.5</v>
      </c>
      <c r="L150" s="1" t="s">
        <v>463</v>
      </c>
      <c r="M150" s="6" t="s">
        <v>42</v>
      </c>
    </row>
    <row r="151" spans="1:13" ht="31.25" customHeight="1" x14ac:dyDescent="0.45">
      <c r="A151" s="5" t="s">
        <v>464</v>
      </c>
      <c r="B151" s="2">
        <v>42043</v>
      </c>
      <c r="C151" s="2">
        <v>42071</v>
      </c>
      <c r="D151" s="1"/>
      <c r="E151" s="1" t="s">
        <v>79</v>
      </c>
      <c r="F151" s="1" t="s">
        <v>80</v>
      </c>
      <c r="G151" s="1" t="s">
        <v>37</v>
      </c>
      <c r="H151" s="1" t="s">
        <v>20</v>
      </c>
      <c r="I151" s="1">
        <v>1112.778</v>
      </c>
      <c r="J151" s="1">
        <v>3</v>
      </c>
      <c r="K151" s="1"/>
      <c r="L151" s="1">
        <v>296.65800000000002</v>
      </c>
      <c r="M151" s="6" t="s">
        <v>31</v>
      </c>
    </row>
    <row r="152" spans="1:13" ht="31.25" customHeight="1" x14ac:dyDescent="0.45">
      <c r="A152" s="5" t="s">
        <v>465</v>
      </c>
      <c r="B152" s="1" t="s">
        <v>466</v>
      </c>
      <c r="C152" s="3">
        <v>41173</v>
      </c>
      <c r="D152" s="1" t="s">
        <v>370</v>
      </c>
      <c r="E152" s="1" t="s">
        <v>26</v>
      </c>
      <c r="F152" s="1" t="s">
        <v>80</v>
      </c>
      <c r="G152" s="1" t="s">
        <v>19</v>
      </c>
      <c r="H152" s="1" t="s">
        <v>84</v>
      </c>
      <c r="I152" s="1">
        <v>3616.5</v>
      </c>
      <c r="J152" s="1">
        <v>10</v>
      </c>
      <c r="K152" s="1">
        <v>0</v>
      </c>
      <c r="L152" s="1">
        <v>36</v>
      </c>
      <c r="M152" s="6" t="s">
        <v>31</v>
      </c>
    </row>
    <row r="153" spans="1:13" ht="31.25" customHeight="1" x14ac:dyDescent="0.45">
      <c r="A153" s="5" t="s">
        <v>414</v>
      </c>
      <c r="B153" s="1" t="s">
        <v>467</v>
      </c>
      <c r="C153" s="1" t="s">
        <v>416</v>
      </c>
      <c r="D153" s="1" t="s">
        <v>366</v>
      </c>
      <c r="E153" s="1" t="s">
        <v>445</v>
      </c>
      <c r="F153" s="1" t="s">
        <v>192</v>
      </c>
      <c r="G153" s="1" t="s">
        <v>37</v>
      </c>
      <c r="H153" s="1" t="s">
        <v>188</v>
      </c>
      <c r="I153" s="1">
        <v>127.88</v>
      </c>
      <c r="J153" s="1">
        <v>2</v>
      </c>
      <c r="K153" s="1">
        <v>0</v>
      </c>
      <c r="L153" s="1">
        <v>40.921599999999998</v>
      </c>
      <c r="M153" s="6" t="s">
        <v>21</v>
      </c>
    </row>
    <row r="154" spans="1:13" ht="31.25" customHeight="1" x14ac:dyDescent="0.45">
      <c r="A154" s="5" t="s">
        <v>468</v>
      </c>
      <c r="B154" s="2">
        <v>41946</v>
      </c>
      <c r="C154" s="1" t="s">
        <v>469</v>
      </c>
      <c r="D154" s="1" t="s">
        <v>470</v>
      </c>
      <c r="E154" s="1" t="s">
        <v>17</v>
      </c>
      <c r="F154" s="1" t="s">
        <v>18</v>
      </c>
      <c r="G154" s="1" t="s">
        <v>19</v>
      </c>
      <c r="H154" s="1" t="s">
        <v>38</v>
      </c>
      <c r="I154" s="1">
        <v>2892.105</v>
      </c>
      <c r="J154" s="1">
        <v>5</v>
      </c>
      <c r="K154" s="1">
        <v>0.1</v>
      </c>
      <c r="L154" s="1">
        <v>160.60499999999999</v>
      </c>
      <c r="M154" s="6" t="s">
        <v>42</v>
      </c>
    </row>
    <row r="155" spans="1:13" ht="31.25" customHeight="1" x14ac:dyDescent="0.45">
      <c r="A155" s="5" t="s">
        <v>471</v>
      </c>
      <c r="B155" s="2">
        <v>41276</v>
      </c>
      <c r="C155" s="2">
        <v>41366</v>
      </c>
      <c r="D155" s="1" t="s">
        <v>203</v>
      </c>
      <c r="E155" s="1" t="s">
        <v>26</v>
      </c>
      <c r="F155" s="1" t="s">
        <v>80</v>
      </c>
      <c r="G155" s="1" t="s">
        <v>19</v>
      </c>
      <c r="H155" s="1" t="s">
        <v>150</v>
      </c>
      <c r="I155" s="1">
        <v>3263.4</v>
      </c>
      <c r="J155" s="1">
        <v>5</v>
      </c>
      <c r="K155" s="1">
        <v>0</v>
      </c>
      <c r="L155" s="1">
        <v>848.4</v>
      </c>
      <c r="M155" s="6" t="s">
        <v>472</v>
      </c>
    </row>
    <row r="156" spans="1:13" ht="31.25" customHeight="1" x14ac:dyDescent="0.45">
      <c r="A156" s="5" t="s">
        <v>414</v>
      </c>
      <c r="B156" s="1" t="s">
        <v>467</v>
      </c>
      <c r="C156" s="1" t="s">
        <v>416</v>
      </c>
      <c r="D156" s="1" t="s">
        <v>366</v>
      </c>
      <c r="E156" s="1" t="s">
        <v>46</v>
      </c>
      <c r="F156" s="1" t="s">
        <v>192</v>
      </c>
      <c r="G156" s="1" t="s">
        <v>51</v>
      </c>
      <c r="H156" s="1" t="s">
        <v>30</v>
      </c>
      <c r="I156" s="1">
        <v>46</v>
      </c>
      <c r="J156" s="1">
        <v>4</v>
      </c>
      <c r="K156" s="1">
        <v>0</v>
      </c>
      <c r="L156" s="1">
        <v>20.7</v>
      </c>
      <c r="M156" s="6" t="s">
        <v>21</v>
      </c>
    </row>
    <row r="157" spans="1:13" ht="31.25" customHeight="1" x14ac:dyDescent="0.45">
      <c r="A157" s="5" t="s">
        <v>473</v>
      </c>
      <c r="B157" s="2">
        <v>42251</v>
      </c>
      <c r="C157" s="1" t="s">
        <v>474</v>
      </c>
      <c r="D157" s="1" t="s">
        <v>475</v>
      </c>
      <c r="E157" s="1" t="s">
        <v>476</v>
      </c>
      <c r="F157" s="1" t="s">
        <v>112</v>
      </c>
      <c r="G157" s="1" t="s">
        <v>37</v>
      </c>
      <c r="H157" s="1" t="s">
        <v>30</v>
      </c>
      <c r="I157" s="1">
        <v>3117.0880000000002</v>
      </c>
      <c r="J157" s="1">
        <v>13</v>
      </c>
      <c r="K157" s="1">
        <v>0.2</v>
      </c>
      <c r="L157" s="1">
        <v>38.948</v>
      </c>
      <c r="M157" s="6" t="s">
        <v>42</v>
      </c>
    </row>
    <row r="158" spans="1:13" ht="31.25" customHeight="1" x14ac:dyDescent="0.45">
      <c r="A158" s="5" t="s">
        <v>477</v>
      </c>
      <c r="B158" s="1" t="s">
        <v>478</v>
      </c>
      <c r="C158" s="2">
        <v>41738</v>
      </c>
      <c r="D158" s="1" t="s">
        <v>366</v>
      </c>
      <c r="E158" s="1" t="s">
        <v>46</v>
      </c>
      <c r="F158" s="1" t="s">
        <v>130</v>
      </c>
      <c r="G158" s="1" t="s">
        <v>51</v>
      </c>
      <c r="H158" s="1" t="s">
        <v>188</v>
      </c>
      <c r="I158" s="1">
        <v>27.93</v>
      </c>
      <c r="J158" s="1">
        <v>3</v>
      </c>
      <c r="K158" s="1">
        <v>0</v>
      </c>
      <c r="L158" s="1">
        <v>8.0997000000000003</v>
      </c>
      <c r="M158" s="6" t="s">
        <v>21</v>
      </c>
    </row>
    <row r="159" spans="1:13" ht="31.25" customHeight="1" x14ac:dyDescent="0.45">
      <c r="A159" s="5" t="s">
        <v>479</v>
      </c>
      <c r="B159" s="1" t="s">
        <v>480</v>
      </c>
      <c r="C159" s="1" t="s">
        <v>481</v>
      </c>
      <c r="D159" s="1" t="s">
        <v>482</v>
      </c>
      <c r="E159" s="1" t="s">
        <v>111</v>
      </c>
      <c r="F159" s="1" t="s">
        <v>112</v>
      </c>
      <c r="G159" s="1" t="s">
        <v>51</v>
      </c>
      <c r="H159" s="1" t="s">
        <v>50</v>
      </c>
      <c r="I159" s="1">
        <v>1888.7</v>
      </c>
      <c r="J159" s="1">
        <v>5</v>
      </c>
      <c r="K159" s="1">
        <v>0</v>
      </c>
      <c r="L159" s="1">
        <v>887.6</v>
      </c>
      <c r="M159" s="6" t="s">
        <v>42</v>
      </c>
    </row>
    <row r="160" spans="1:13" ht="31.25" customHeight="1" x14ac:dyDescent="0.45">
      <c r="A160" s="5" t="s">
        <v>483</v>
      </c>
      <c r="B160" s="2">
        <v>41680</v>
      </c>
      <c r="C160" s="2">
        <v>41739</v>
      </c>
      <c r="D160" s="1" t="s">
        <v>484</v>
      </c>
      <c r="E160" s="1" t="s">
        <v>74</v>
      </c>
      <c r="F160" s="1" t="s">
        <v>103</v>
      </c>
      <c r="G160" s="1" t="s">
        <v>51</v>
      </c>
      <c r="H160" s="1" t="s">
        <v>150</v>
      </c>
      <c r="I160" s="1">
        <v>3000.78</v>
      </c>
      <c r="J160" s="1">
        <v>6</v>
      </c>
      <c r="K160" s="1">
        <v>0</v>
      </c>
      <c r="L160" s="1">
        <v>1080.18</v>
      </c>
      <c r="M160" s="6" t="s">
        <v>42</v>
      </c>
    </row>
    <row r="161" spans="1:13" ht="31.25" customHeight="1" x14ac:dyDescent="0.45">
      <c r="A161" s="5" t="s">
        <v>485</v>
      </c>
      <c r="B161" s="2">
        <v>41974</v>
      </c>
      <c r="C161" s="1" t="s">
        <v>486</v>
      </c>
      <c r="D161" s="1"/>
      <c r="E161" s="1" t="s">
        <v>252</v>
      </c>
      <c r="F161" s="1" t="s">
        <v>89</v>
      </c>
      <c r="G161" s="1" t="s">
        <v>51</v>
      </c>
      <c r="H161" s="1" t="s">
        <v>84</v>
      </c>
      <c r="I161" s="1">
        <v>3801.63</v>
      </c>
      <c r="J161" s="1">
        <v>7</v>
      </c>
      <c r="K161" s="1">
        <v>0</v>
      </c>
      <c r="L161" s="1">
        <v>1444.59</v>
      </c>
      <c r="M161" s="6" t="s">
        <v>21</v>
      </c>
    </row>
    <row r="162" spans="1:13" ht="31.25" customHeight="1" x14ac:dyDescent="0.45">
      <c r="A162" s="5" t="s">
        <v>487</v>
      </c>
      <c r="B162" s="1" t="s">
        <v>488</v>
      </c>
      <c r="C162" s="1" t="s">
        <v>489</v>
      </c>
      <c r="D162" s="1" t="s">
        <v>490</v>
      </c>
      <c r="E162" s="1" t="s">
        <v>62</v>
      </c>
      <c r="F162" s="1" t="s">
        <v>63</v>
      </c>
      <c r="G162" s="1" t="s">
        <v>19</v>
      </c>
      <c r="H162" s="1" t="s">
        <v>84</v>
      </c>
      <c r="I162" s="1">
        <v>5211.12</v>
      </c>
      <c r="J162" s="1">
        <v>8</v>
      </c>
      <c r="K162" s="1">
        <v>0</v>
      </c>
      <c r="L162" s="1">
        <v>1146.24</v>
      </c>
      <c r="M162" s="6" t="s">
        <v>21</v>
      </c>
    </row>
    <row r="163" spans="1:13" ht="31.25" customHeight="1" x14ac:dyDescent="0.45">
      <c r="A163" s="5" t="s">
        <v>116</v>
      </c>
      <c r="B163" s="1" t="s">
        <v>117</v>
      </c>
      <c r="C163" s="1" t="s">
        <v>118</v>
      </c>
      <c r="D163" s="1" t="s">
        <v>119</v>
      </c>
      <c r="E163" s="1" t="s">
        <v>120</v>
      </c>
      <c r="F163" s="4" t="s">
        <v>103</v>
      </c>
      <c r="G163" s="1"/>
      <c r="H163" s="1" t="s">
        <v>84</v>
      </c>
      <c r="I163" s="1">
        <v>1356.03</v>
      </c>
      <c r="J163" s="1">
        <v>3</v>
      </c>
      <c r="K163" s="1">
        <v>0</v>
      </c>
      <c r="L163" s="1">
        <v>311.85000000000002</v>
      </c>
      <c r="M163" s="6" t="s">
        <v>31</v>
      </c>
    </row>
    <row r="164" spans="1:13" ht="31.25" customHeight="1" x14ac:dyDescent="0.45">
      <c r="A164" s="5" t="s">
        <v>491</v>
      </c>
      <c r="B164" s="1" t="s">
        <v>492</v>
      </c>
      <c r="C164" s="1" t="s">
        <v>409</v>
      </c>
      <c r="D164" s="1" t="s">
        <v>493</v>
      </c>
      <c r="E164" s="1" t="s">
        <v>17</v>
      </c>
      <c r="F164" s="1" t="s">
        <v>18</v>
      </c>
      <c r="G164" s="1" t="s">
        <v>51</v>
      </c>
      <c r="H164" s="1" t="s">
        <v>30</v>
      </c>
      <c r="I164" s="1"/>
      <c r="J164" s="1">
        <v>7</v>
      </c>
      <c r="K164" s="1">
        <v>0.1</v>
      </c>
      <c r="L164" s="1">
        <v>674.16300000000001</v>
      </c>
      <c r="M164" s="6" t="s">
        <v>42</v>
      </c>
    </row>
    <row r="165" spans="1:13" ht="31.25" customHeight="1" x14ac:dyDescent="0.45">
      <c r="A165" s="5" t="s">
        <v>494</v>
      </c>
      <c r="B165" s="1" t="s">
        <v>311</v>
      </c>
      <c r="C165" s="1" t="s">
        <v>495</v>
      </c>
      <c r="D165" s="1" t="s">
        <v>366</v>
      </c>
      <c r="E165" s="1" t="s">
        <v>46</v>
      </c>
      <c r="F165" s="1" t="s">
        <v>49</v>
      </c>
      <c r="G165" s="1" t="s">
        <v>51</v>
      </c>
      <c r="H165" s="1" t="s">
        <v>50</v>
      </c>
      <c r="I165" s="1">
        <v>18.54</v>
      </c>
      <c r="J165" s="1">
        <v>2</v>
      </c>
      <c r="K165" s="1">
        <v>0</v>
      </c>
      <c r="L165" s="1">
        <v>8.7138000000000009</v>
      </c>
      <c r="M165" s="6" t="s">
        <v>21</v>
      </c>
    </row>
    <row r="166" spans="1:13" ht="31.25" customHeight="1" x14ac:dyDescent="0.45">
      <c r="A166" s="7" t="s">
        <v>496</v>
      </c>
      <c r="B166" s="11">
        <v>42254</v>
      </c>
      <c r="C166" s="8" t="s">
        <v>497</v>
      </c>
      <c r="D166" s="8"/>
      <c r="E166" s="8" t="s">
        <v>171</v>
      </c>
      <c r="F166" s="8" t="s">
        <v>172</v>
      </c>
      <c r="G166" s="8" t="s">
        <v>37</v>
      </c>
      <c r="H166" s="8" t="s">
        <v>84</v>
      </c>
      <c r="I166" s="8">
        <v>2910.0816</v>
      </c>
      <c r="J166" s="8">
        <v>8</v>
      </c>
      <c r="K166" s="8">
        <v>7.0000000000000007E-2</v>
      </c>
      <c r="L166" s="8">
        <v>125.1216</v>
      </c>
      <c r="M166" s="9" t="s">
        <v>42</v>
      </c>
    </row>
  </sheetData>
  <mergeCells count="1">
    <mergeCell ref="O4:Q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2025-10-16T05:10:25Z</dcterms:modified>
</cp:coreProperties>
</file>