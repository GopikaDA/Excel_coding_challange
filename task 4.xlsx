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25" documentId="11_63C79E182C7E50FA6FA4F6D0A0042DCBCC795ECC" xr6:coauthVersionLast="47" xr6:coauthVersionMax="47" xr10:uidLastSave="{FF6C980C-15A9-4E2E-AE0C-C3EA6C00B76D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</calcChain>
</file>

<file path=xl/sharedStrings.xml><?xml version="1.0" encoding="utf-8"?>
<sst xmlns="http://schemas.openxmlformats.org/spreadsheetml/2006/main" count="1209" uniqueCount="470">
  <si>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</si>
  <si>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</si>
  <si>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</si>
  <si>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</si>
  <si>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</si>
  <si>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</si>
  <si>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</si>
  <si>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</si>
  <si>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</si>
  <si>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</si>
  <si>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</si>
  <si>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</si>
  <si>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</si>
  <si>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</si>
  <si>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</si>
  <si>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</si>
  <si>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</si>
  <si>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</si>
  <si>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</si>
  <si>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</si>
  <si>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</si>
  <si>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</si>
  <si>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</si>
  <si>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</si>
  <si>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</si>
  <si>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</si>
  <si>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</si>
  <si>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</si>
  <si>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</si>
  <si>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</si>
  <si>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</si>
  <si>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</si>
  <si>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</si>
  <si>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</si>
  <si>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</si>
  <si>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</si>
  <si>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</si>
  <si>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</si>
  <si>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</si>
  <si>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</si>
  <si>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</si>
  <si>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</si>
  <si>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</si>
  <si>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</si>
  <si>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</si>
  <si>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</si>
  <si>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</si>
  <si>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</si>
  <si>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</si>
  <si>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</si>
  <si>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</si>
  <si>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</si>
  <si>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</si>
  <si>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</si>
  <si>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</si>
  <si>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</si>
  <si>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</si>
  <si>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</si>
  <si>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</si>
  <si>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</si>
  <si>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</si>
  <si>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</si>
  <si>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</si>
  <si>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</si>
  <si>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</si>
  <si>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</si>
  <si>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</si>
  <si>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</si>
  <si>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</si>
  <si>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</si>
  <si>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</si>
  <si>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</si>
  <si>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</si>
  <si>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</si>
  <si>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</si>
  <si>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</si>
  <si>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</si>
  <si>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</si>
  <si>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</si>
  <si>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</si>
  <si>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</si>
  <si>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</si>
  <si>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</si>
  <si>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</si>
  <si>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</si>
  <si>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Low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</si>
  <si>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</si>
  <si>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</si>
  <si>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</si>
  <si>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</si>
  <si>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</si>
  <si>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</si>
  <si>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</si>
  <si>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</si>
  <si>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</si>
  <si>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</si>
  <si>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</si>
  <si>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</si>
  <si>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</si>
  <si>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</si>
  <si>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</si>
  <si>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</si>
  <si>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</si>
  <si>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</si>
  <si>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</si>
  <si>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</si>
  <si>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</si>
  <si>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</si>
  <si>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</si>
  <si>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</si>
  <si>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</si>
  <si>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</si>
  <si>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</si>
  <si>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</si>
  <si>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</si>
  <si>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</si>
  <si>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</si>
  <si>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</si>
  <si>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</si>
  <si>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</si>
  <si>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</si>
  <si>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</si>
  <si>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</si>
  <si>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</si>
  <si>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</si>
  <si>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</si>
  <si>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</si>
  <si>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</si>
  <si>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</si>
  <si>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</si>
  <si>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</si>
  <si>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</si>
  <si>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</si>
  <si>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</si>
  <si>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</si>
  <si>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</si>
  <si>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</si>
  <si>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</si>
  <si>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</si>
  <si>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</si>
  <si>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</si>
  <si>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</si>
  <si>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</si>
  <si>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</si>
  <si>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</si>
  <si>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</si>
  <si>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</si>
  <si>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</si>
  <si>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</si>
  <si>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</si>
  <si>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</si>
  <si>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</si>
  <si>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</si>
  <si>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</si>
  <si>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</si>
  <si>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</si>
  <si>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</si>
  <si>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</si>
  <si>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</si>
  <si>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</si>
  <si>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</si>
  <si>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</si>
  <si>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</si>
  <si>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</si>
  <si>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</si>
  <si>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</si>
  <si>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</si>
  <si>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</si>
  <si>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</si>
  <si>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</si>
  <si>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</si>
  <si>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</si>
  <si>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</si>
  <si>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</si>
  <si>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</si>
  <si>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</si>
  <si>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</si>
  <si>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</si>
  <si>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</si>
  <si>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</si>
  <si>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</si>
  <si>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</si>
  <si>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</si>
  <si>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</si>
  <si>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</si>
  <si>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9/22/12 0:00</t>
  </si>
  <si>
    <t>9/24/12 0:00</t>
  </si>
  <si>
    <t>Zuschuss Carroll</t>
  </si>
  <si>
    <t>Bookcases</t>
  </si>
  <si>
    <t>CA-2014-AH10030140-41719</t>
  </si>
  <si>
    <t>3/21/14 0:00</t>
  </si>
  <si>
    <t>3/26/14 0:00</t>
  </si>
  <si>
    <t>Southern US</t>
  </si>
  <si>
    <t>IT-2014-EB1384045-41706</t>
  </si>
  <si>
    <t>Elli sBallard</t>
  </si>
  <si>
    <t>IN-2015-AP1091527-42244</t>
  </si>
  <si>
    <t>8/28/15 0:00</t>
  </si>
  <si>
    <t>8/29/15 0:00</t>
  </si>
  <si>
    <t>Arthur Prichep</t>
  </si>
  <si>
    <t>IN-2015-SW2027558-42125</t>
  </si>
  <si>
    <t>Scott Williamson</t>
  </si>
  <si>
    <t>MX-2015-JH15820141-42356</t>
  </si>
  <si>
    <t>12/20/15 0:00</t>
  </si>
  <si>
    <t>John Huston</t>
  </si>
  <si>
    <t>Uruguay</t>
  </si>
  <si>
    <t>missing</t>
  </si>
  <si>
    <t>US-2012-AH10030140-41206</t>
  </si>
  <si>
    <t>10/24/12 0:00</t>
  </si>
  <si>
    <t>10/27/12 0:00</t>
  </si>
  <si>
    <t>Office_Supplies</t>
  </si>
  <si>
    <t>IR-2015-TG1164060-42265</t>
  </si>
  <si>
    <t>9/18/15 0:00</t>
  </si>
  <si>
    <t>9/21/15 0:00</t>
  </si>
  <si>
    <t>Trudy Glocke</t>
  </si>
  <si>
    <t>Iran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</si>
  <si>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</si>
  <si>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</si>
  <si>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</si>
  <si>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</si>
  <si>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</si>
  <si>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</si>
  <si>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</si>
  <si>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5/31/13 0:00</t>
  </si>
  <si>
    <t>Sheri Gordon</t>
  </si>
  <si>
    <t>Eastern US#</t>
  </si>
  <si>
    <t>IN-2013-GP1474058-41419</t>
  </si>
  <si>
    <t>5/25/13 0:00</t>
  </si>
  <si>
    <t>5/28/13 0:00</t>
  </si>
  <si>
    <t>Guy Phonely</t>
  </si>
  <si>
    <t>IN-2015-MW182207-42221</t>
  </si>
  <si>
    <t>Mitch Webber</t>
  </si>
  <si>
    <t>5/18/12 0:00</t>
  </si>
  <si>
    <t>IN-2015-CS1246011-42074</t>
  </si>
  <si>
    <t>Chuck Sachs</t>
  </si>
  <si>
    <t>Bangladesh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</si>
  <si>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</si>
  <si>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</si>
  <si>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</si>
  <si>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</si>
  <si>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</si>
  <si>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</si>
  <si>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</si>
  <si>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</si>
  <si>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</si>
  <si>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</si>
  <si>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</si>
  <si>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</si>
  <si>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</si>
  <si>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</si>
  <si>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</si>
  <si>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</si>
  <si>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</si>
  <si>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</si>
  <si>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</si>
  <si>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</si>
  <si>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</si>
  <si>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11/20/15 0:00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</si>
  <si>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</si>
  <si>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</si>
  <si>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</si>
  <si>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</si>
  <si>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</si>
  <si>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</si>
  <si>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</si>
  <si>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</si>
  <si>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</si>
  <si>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11/21/12 0:00</t>
  </si>
  <si>
    <t>11/22/12 0:00</t>
  </si>
  <si>
    <t>Shui Tom</t>
  </si>
  <si>
    <t>Nicaragua</t>
  </si>
  <si>
    <t>121.94000000000001unknown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</si>
  <si>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</si>
  <si>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</si>
  <si>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</si>
  <si>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</si>
  <si>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</si>
  <si>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</si>
  <si>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</si>
  <si>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Laura Armstrong</t>
  </si>
  <si>
    <t>ES-2013-AB10150139-41537</t>
  </si>
  <si>
    <t>9/20/13 0:00</t>
  </si>
  <si>
    <t>9/22/13 0:00</t>
  </si>
  <si>
    <t>Aimee Bixby</t>
  </si>
  <si>
    <t>IN-2015-JH158207-42140</t>
  </si>
  <si>
    <t>5/16/15 0:00</t>
  </si>
  <si>
    <t>5/18/15 0:00</t>
  </si>
  <si>
    <t>Critiacl</t>
  </si>
  <si>
    <t>ES-2014-BE1141048-41967</t>
  </si>
  <si>
    <t>11/24/14 0:00</t>
  </si>
  <si>
    <t>11/25/14 0:00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</si>
  <si>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</si>
  <si>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</si>
  <si>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</si>
  <si>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</si>
  <si>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</si>
  <si>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</si>
  <si>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</si>
  <si>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</si>
  <si>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</si>
  <si>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</si>
  <si>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</si>
  <si>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</si>
  <si>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</si>
  <si>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</si>
  <si>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Morocco</t>
  </si>
  <si>
    <t>North Africa</t>
  </si>
  <si>
    <t>9/26/14 0:00</t>
  </si>
  <si>
    <t>9/28/14 0:00</t>
  </si>
  <si>
    <t>US-2015-AS10045140-42252</t>
  </si>
  <si>
    <t>1/29/14 0:00</t>
  </si>
  <si>
    <t>ID-2013-AM1070559-41535</t>
  </si>
  <si>
    <t>9/18/13 0:00</t>
  </si>
  <si>
    <t>9/21/13 0:00</t>
  </si>
  <si>
    <t>Anne McFarland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</si>
  <si>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</si>
  <si>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</si>
  <si>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</si>
  <si>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</si>
  <si>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</si>
  <si>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</si>
  <si>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</si>
  <si>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</si>
  <si>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Berenike Kampe</t>
  </si>
  <si>
    <t>12/14/14 0:00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</si>
  <si>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</si>
  <si>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</si>
  <si>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</si>
  <si>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</si>
  <si>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</si>
  <si>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</si>
  <si>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</si>
  <si>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</si>
  <si>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</si>
  <si>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</si>
  <si>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</si>
  <si>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</si>
  <si>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11/27/14 0:00</t>
  </si>
  <si>
    <t>11/29/14 0:00</t>
  </si>
  <si>
    <t>Natalie Fritzler</t>
  </si>
  <si>
    <t>Austria</t>
  </si>
  <si>
    <t>IN-2013-NZ185657-41606</t>
  </si>
  <si>
    <t>11/28/13 0:00</t>
  </si>
  <si>
    <t>IT-2013-PM1984045-41546</t>
  </si>
  <si>
    <t>9/29/13 0:00</t>
  </si>
  <si>
    <t>Paul MacIntyre</t>
  </si>
  <si>
    <t>ES-2014-MZ1733545-41885</t>
  </si>
  <si>
    <t>Maria Zettner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</si>
  <si>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</si>
  <si>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</si>
  <si>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</si>
  <si>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</si>
  <si>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</si>
  <si>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</si>
  <si>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861.372unknown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</si>
  <si>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</si>
  <si>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</si>
  <si>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</si>
  <si>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</si>
  <si>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</si>
  <si>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</si>
  <si>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</si>
  <si>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</si>
  <si>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7/26/12 0:00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</si>
  <si>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</si>
  <si>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</si>
  <si>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</si>
  <si>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</si>
  <si>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</si>
  <si>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</si>
  <si>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</si>
  <si>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</si>
  <si>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</si>
  <si>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</si>
  <si>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</si>
  <si>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</si>
  <si>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</si>
  <si>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</si>
  <si>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</si>
  <si>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</si>
  <si>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</si>
  <si>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12/28/13 0:00</t>
  </si>
  <si>
    <t>Neoma Murray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</si>
  <si>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</si>
  <si>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</si>
  <si>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</si>
  <si>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</si>
  <si>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</si>
  <si>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</si>
  <si>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</si>
  <si>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</si>
  <si>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</si>
  <si>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</si>
  <si>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</si>
  <si>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</si>
  <si>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</si>
  <si>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</si>
  <si>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</si>
  <si>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</si>
  <si>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</si>
  <si>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</si>
  <si>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</si>
  <si>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Storage</t>
  </si>
  <si>
    <t>IN-2014-CM121157-41913</t>
  </si>
  <si>
    <t>Chad McGuire</t>
  </si>
  <si>
    <t>CA-2015-AB10060140-42315</t>
  </si>
  <si>
    <t>11/14/15 0:00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</si>
  <si>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</si>
  <si>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</si>
  <si>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</si>
  <si>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</si>
  <si>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</si>
  <si>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</si>
  <si>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</si>
  <si>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</si>
  <si>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</si>
  <si>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</si>
  <si>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3/19/14 0:00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</si>
  <si>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</si>
  <si>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</si>
  <si>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</si>
  <si>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</si>
  <si>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</si>
  <si>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</si>
  <si>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</si>
  <si>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</si>
  <si>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</si>
  <si>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</si>
  <si>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</si>
  <si>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</si>
  <si>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Thailand</t>
  </si>
  <si>
    <t>IN-2013-PM1894059-41284</t>
  </si>
  <si>
    <t>1/14/13 0:00</t>
  </si>
  <si>
    <t>MX-2014-AT1043582-41667</t>
  </si>
  <si>
    <t>ID-2013-AB1001527-41439</t>
  </si>
  <si>
    <t>6/14/13 0:00</t>
  </si>
  <si>
    <t>6/17/13 0:00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</si>
  <si>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</si>
  <si>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</si>
  <si>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</si>
  <si>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</si>
  <si>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</si>
  <si>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</si>
  <si>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</si>
  <si>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</si>
  <si>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</si>
  <si>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</si>
  <si>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</si>
  <si>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</si>
  <si>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</si>
  <si>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</si>
  <si>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</si>
  <si>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</si>
  <si>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</si>
  <si>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</si>
  <si>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</si>
  <si>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5/13/15 0:00</t>
  </si>
  <si>
    <t>ID-2014-CR126257-41878</t>
  </si>
  <si>
    <t>8/27/14 0:00</t>
  </si>
  <si>
    <t>8/29/14 0:00</t>
  </si>
  <si>
    <t>Corey Roper</t>
  </si>
  <si>
    <t>5/16/12 0:00</t>
  </si>
  <si>
    <t>IT-2012-GM1468091-41215</t>
  </si>
  <si>
    <t>Greg Matthias</t>
  </si>
  <si>
    <t>-1784.895unknown</t>
  </si>
  <si>
    <t>Profit/Loss</t>
  </si>
  <si>
    <t>Using Averageif fun  find the Average of Chairs</t>
  </si>
  <si>
    <t>Using Countif Fun for Count the No of Phones</t>
  </si>
  <si>
    <t>Using sumif For Total  No of Technology</t>
  </si>
  <si>
    <t>Using Nestedif Function for Find Profit or Loss</t>
  </si>
  <si>
    <t>Day 4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</si>
</sst>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4"/>
      <color rgb="FFFFFF00"/>
      <name val="Times New Roman"/>
      <family val="1"/>
    </font>
    <font>
      <u/>
      <sz val="14"/>
      <color theme="1"/>
      <name val="Times New Roman"/>
      <family val="1"/>
    </font>
    <font>
      <sz val="12"/>
      <color rgb="FF0070C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2" borderId="6" xfId="1" applyFont="1" applyBorder="1" applyAlignment="1">
      <alignment horizontal="center" vertical="center" wrapText="1"/>
    </xf>
    <xf numFmtId="0" fontId="3" fillId="2" borderId="3" xfId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22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3" borderId="0" xfId="0" applyFill="1"/>
    <xf numFmtId="0" fontId="4" fillId="4" borderId="5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wrapText="1"/>
    </xf>
    <xf numFmtId="0" fontId="5" fillId="5" borderId="5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</cellXfs>
  <cellStyles count="2">
    <cellStyle name="Accent5" xfId="1" builtinId="45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N150" totalsRowShown="0" headerRowDxfId="18" dataDxfId="17" headerRowBorderDxfId="15" tableBorderDxfId="16" totalsRowBorderDxfId="14" headerRowCellStyle="Accent5">
  <autoFilter ref="A1:N150" xr:uid="{00000000-0009-0000-0100-000004000000}"/>
  <tableColumns count="14">
    <tableColumn id="1" xr3:uid="{00000000-0010-0000-0000-000001000000}" name="Order ID" dataDxfId="13"/>
    <tableColumn id="2" xr3:uid="{00000000-0010-0000-0000-000002000000}" name="Order Date" dataDxfId="12"/>
    <tableColumn id="3" xr3:uid="{00000000-0010-0000-0000-000003000000}" name="Ship Date" dataDxfId="11"/>
    <tableColumn id="4" xr3:uid="{00000000-0010-0000-0000-000004000000}" name="Customer Name" dataDxfId="10"/>
    <tableColumn id="5" xr3:uid="{00000000-0010-0000-0000-000005000000}" name="Country" dataDxfId="9"/>
    <tableColumn id="6" xr3:uid="{00000000-0010-0000-0000-000006000000}" name="Region" dataDxfId="8"/>
    <tableColumn id="7" xr3:uid="{00000000-0010-0000-0000-000007000000}" name="Category" dataDxfId="7"/>
    <tableColumn id="8" xr3:uid="{00000000-0010-0000-0000-000008000000}" name="Sub-Category" dataDxfId="6"/>
    <tableColumn id="9" xr3:uid="{00000000-0010-0000-0000-000009000000}" name="Sales" dataDxfId="5"/>
    <tableColumn id="10" xr3:uid="{00000000-0010-0000-0000-00000A000000}" name="Quantity" dataDxfId="4"/>
    <tableColumn id="11" xr3:uid="{00000000-0010-0000-0000-00000B000000}" name="Discount" dataDxfId="3"/>
    <tableColumn id="12" xr3:uid="{00000000-0010-0000-0000-00000C000000}" name="Profit" dataDxfId="2"/>
    <tableColumn id="14" xr3:uid="{00000000-0010-0000-0000-00000E000000}" name="Profit/Loss" dataDxfId="1">
      <calculatedColumnFormula>IF(L2&gt;500,"Profit",IF(L2&lt;0,"Loss","Neutral"))</calculatedColumnFormula>
    </tableColumn>
    <tableColumn id="13" xr3:uid="{00000000-0010-0000-0000-00000D000000}" name="Order Priority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"/>
  <sheetViews>
    <sheetView tabSelected="1" topLeftCell="M1" workbookViewId="0">
      <selection activeCell="P9" sqref="P9"/>
    </sheetView>
  </sheetViews>
  <sheetFormatPr defaultColWidth="22.6640625" defaultRowHeight="27" customHeight="1" x14ac:dyDescent="0.45"/>
  <cols>
    <col min="13" max="13" width="22.6640625" style="17"/>
    <col min="15" max="15" width="26.73046875" customWidth="1"/>
  </cols>
  <sheetData>
    <row r="1" spans="1:16" ht="27" customHeight="1" x14ac:dyDescent="0.4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4" t="s">
        <v>464</v>
      </c>
      <c r="N1" s="9" t="s">
        <v>12</v>
      </c>
    </row>
    <row r="2" spans="1:16" ht="27" customHeight="1" x14ac:dyDescent="0.45">
      <c r="A2" s="5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5175.1710000000003</v>
      </c>
      <c r="J2" s="1">
        <v>9</v>
      </c>
      <c r="K2" s="1">
        <v>0.1</v>
      </c>
      <c r="L2" s="1">
        <v>919.971</v>
      </c>
      <c r="M2" s="15" t="str">
        <f t="shared" ref="M2:M33" si="0">IF(L2&gt;500,"Profit",IF(L2&lt;0,"Loss","Neutral"))</f>
        <v>Profit</v>
      </c>
      <c r="N2" s="7" t="s">
        <v>21</v>
      </c>
    </row>
    <row r="3" spans="1:16" ht="27" customHeight="1" x14ac:dyDescent="0.5">
      <c r="A3" s="5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/>
      <c r="G3" s="1" t="s">
        <v>19</v>
      </c>
      <c r="H3" s="1" t="s">
        <v>27</v>
      </c>
      <c r="I3" s="1">
        <v>2892.51</v>
      </c>
      <c r="J3" s="1">
        <v>5</v>
      </c>
      <c r="K3" s="1">
        <v>0.1</v>
      </c>
      <c r="L3" s="1">
        <v>-96.54</v>
      </c>
      <c r="M3" s="15" t="str">
        <f t="shared" si="0"/>
        <v>Loss</v>
      </c>
      <c r="N3" s="7"/>
      <c r="O3" s="18" t="s">
        <v>469</v>
      </c>
      <c r="P3" s="19"/>
    </row>
    <row r="4" spans="1:16" ht="27" customHeight="1" x14ac:dyDescent="0.45">
      <c r="A4" s="5"/>
      <c r="B4" s="2">
        <v>41770</v>
      </c>
      <c r="C4" s="2">
        <v>41801</v>
      </c>
      <c r="D4" s="3" t="s">
        <v>28</v>
      </c>
      <c r="E4" s="1"/>
      <c r="F4" s="1" t="s">
        <v>29</v>
      </c>
      <c r="G4" s="1" t="s">
        <v>19</v>
      </c>
      <c r="H4" s="1" t="s">
        <v>30</v>
      </c>
      <c r="I4" s="1">
        <v>2832.96</v>
      </c>
      <c r="J4" s="1">
        <v>8</v>
      </c>
      <c r="K4" s="1">
        <v>0</v>
      </c>
      <c r="L4" s="1">
        <v>311.52</v>
      </c>
      <c r="M4" s="15" t="str">
        <f t="shared" si="0"/>
        <v>Neutral</v>
      </c>
      <c r="N4" s="7" t="s">
        <v>31</v>
      </c>
      <c r="O4" s="21" t="s">
        <v>467</v>
      </c>
      <c r="P4" s="20">
        <f>SUMIF(G2:G150,"technology",I2:I150)</f>
        <v>138686.61276000002</v>
      </c>
    </row>
    <row r="5" spans="1:16" ht="27" customHeight="1" x14ac:dyDescent="0.45">
      <c r="A5" s="5" t="s">
        <v>32</v>
      </c>
      <c r="B5" s="1" t="s">
        <v>33</v>
      </c>
      <c r="C5" s="2">
        <v>41646</v>
      </c>
      <c r="D5" s="1" t="s">
        <v>34</v>
      </c>
      <c r="E5" s="1" t="s">
        <v>17</v>
      </c>
      <c r="F5" s="1" t="s">
        <v>18</v>
      </c>
      <c r="G5" s="1" t="s">
        <v>19</v>
      </c>
      <c r="H5" s="1" t="s">
        <v>30</v>
      </c>
      <c r="I5" s="1">
        <v>2862.6750000000002</v>
      </c>
      <c r="J5" s="1">
        <v>5</v>
      </c>
      <c r="K5" s="1">
        <v>0.1</v>
      </c>
      <c r="L5" s="1">
        <v>763.27499999999998</v>
      </c>
      <c r="M5" s="15" t="str">
        <f t="shared" si="0"/>
        <v>Profit</v>
      </c>
      <c r="N5" s="7" t="s">
        <v>31</v>
      </c>
      <c r="O5" s="21" t="s">
        <v>466</v>
      </c>
      <c r="P5" s="20">
        <f>COUNTIF(H2:H150,"phones")</f>
        <v>33</v>
      </c>
    </row>
    <row r="6" spans="1:16" ht="27" customHeight="1" x14ac:dyDescent="0.45">
      <c r="A6" s="5"/>
      <c r="B6" s="2">
        <v>41071</v>
      </c>
      <c r="C6" s="2">
        <v>41132</v>
      </c>
      <c r="D6" s="1" t="s">
        <v>35</v>
      </c>
      <c r="E6" s="1" t="s">
        <v>36</v>
      </c>
      <c r="F6" s="1" t="s">
        <v>18</v>
      </c>
      <c r="G6" s="1" t="s">
        <v>37</v>
      </c>
      <c r="H6" s="1" t="s">
        <v>38</v>
      </c>
      <c r="I6" s="1">
        <v>1822.08</v>
      </c>
      <c r="J6" s="1">
        <v>4</v>
      </c>
      <c r="K6" s="1">
        <v>0</v>
      </c>
      <c r="L6" s="1">
        <v>564.84</v>
      </c>
      <c r="M6" s="15" t="str">
        <f t="shared" si="0"/>
        <v>Profit</v>
      </c>
      <c r="N6" s="7" t="s">
        <v>31</v>
      </c>
      <c r="O6" s="21" t="s">
        <v>465</v>
      </c>
      <c r="P6" s="20">
        <f>AVERAGEIF(H2:H150,"chairs",I2:I150)</f>
        <v>2251.9154190476188</v>
      </c>
    </row>
    <row r="7" spans="1:16" ht="27" customHeight="1" x14ac:dyDescent="0.45">
      <c r="A7" s="5" t="s">
        <v>39</v>
      </c>
      <c r="B7" s="1"/>
      <c r="C7" s="1"/>
      <c r="D7" s="1" t="s">
        <v>40</v>
      </c>
      <c r="E7" s="1" t="s">
        <v>36</v>
      </c>
      <c r="F7" s="1" t="s">
        <v>18</v>
      </c>
      <c r="G7" s="1" t="s">
        <v>37</v>
      </c>
      <c r="H7" s="1" t="s">
        <v>30</v>
      </c>
      <c r="I7" s="1">
        <v>5244.84</v>
      </c>
      <c r="J7" s="1" t="s">
        <v>41</v>
      </c>
      <c r="K7" s="1">
        <v>0</v>
      </c>
      <c r="L7" s="1">
        <v>996.48</v>
      </c>
      <c r="M7" s="15" t="str">
        <f t="shared" si="0"/>
        <v>Profit</v>
      </c>
      <c r="N7" s="7" t="s">
        <v>42</v>
      </c>
      <c r="O7" s="22" t="s">
        <v>468</v>
      </c>
      <c r="P7" s="23"/>
    </row>
    <row r="8" spans="1:16" ht="27" customHeight="1" x14ac:dyDescent="0.45">
      <c r="A8" s="5" t="s">
        <v>43</v>
      </c>
      <c r="B8" s="2">
        <v>41954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37</v>
      </c>
      <c r="H8" s="1" t="s">
        <v>27</v>
      </c>
      <c r="I8" s="1">
        <v>341.96</v>
      </c>
      <c r="J8" s="1">
        <v>2</v>
      </c>
      <c r="K8" s="1">
        <v>0</v>
      </c>
      <c r="L8" s="1">
        <v>54.7136</v>
      </c>
      <c r="M8" s="15" t="str">
        <f t="shared" si="0"/>
        <v>Neutral</v>
      </c>
      <c r="N8" s="7" t="s">
        <v>42</v>
      </c>
    </row>
    <row r="9" spans="1:16" ht="27" customHeight="1" x14ac:dyDescent="0.45">
      <c r="A9" s="5" t="s">
        <v>48</v>
      </c>
      <c r="B9" s="2">
        <v>41063</v>
      </c>
      <c r="C9" s="2">
        <v>41093</v>
      </c>
      <c r="D9" s="1" t="s">
        <v>45</v>
      </c>
      <c r="E9" s="1" t="s">
        <v>46</v>
      </c>
      <c r="F9" s="1" t="s">
        <v>49</v>
      </c>
      <c r="G9" s="1" t="s">
        <v>37</v>
      </c>
      <c r="H9" s="1" t="s">
        <v>50</v>
      </c>
      <c r="I9" s="1">
        <v>48.712000000000003</v>
      </c>
      <c r="J9" s="1">
        <v>1</v>
      </c>
      <c r="K9" s="1"/>
      <c r="L9" s="1">
        <v>5.4801000000000002</v>
      </c>
      <c r="M9" s="15" t="str">
        <f t="shared" si="0"/>
        <v>Neutral</v>
      </c>
      <c r="N9" s="7" t="s">
        <v>42</v>
      </c>
    </row>
    <row r="10" spans="1:16" ht="27" customHeight="1" x14ac:dyDescent="0.45">
      <c r="A10" s="5" t="s">
        <v>48</v>
      </c>
      <c r="B10" s="2">
        <v>41063</v>
      </c>
      <c r="C10" s="2">
        <v>41093</v>
      </c>
      <c r="D10" s="3" t="s">
        <v>45</v>
      </c>
      <c r="E10" s="1"/>
      <c r="F10" s="1" t="s">
        <v>49</v>
      </c>
      <c r="G10" s="1" t="s">
        <v>51</v>
      </c>
      <c r="H10" s="1" t="s">
        <v>52</v>
      </c>
      <c r="I10" s="1" t="s">
        <v>53</v>
      </c>
      <c r="J10" s="1">
        <v>3</v>
      </c>
      <c r="K10" s="1">
        <v>0</v>
      </c>
      <c r="L10" s="1">
        <v>26.647123529999998</v>
      </c>
      <c r="M10" s="15" t="str">
        <f t="shared" si="0"/>
        <v>Neutral</v>
      </c>
      <c r="N10" s="7" t="s">
        <v>42</v>
      </c>
    </row>
    <row r="11" spans="1:16" ht="27" customHeight="1" x14ac:dyDescent="0.45">
      <c r="A11" s="5" t="s">
        <v>54</v>
      </c>
      <c r="B11" s="1" t="s">
        <v>55</v>
      </c>
      <c r="C11" s="4">
        <v>41386</v>
      </c>
      <c r="D11" s="1" t="s">
        <v>56</v>
      </c>
      <c r="E11" s="1" t="s">
        <v>57</v>
      </c>
      <c r="F11" s="1" t="s">
        <v>58</v>
      </c>
      <c r="G11" s="1" t="s">
        <v>37</v>
      </c>
      <c r="H11" s="1" t="s">
        <v>50</v>
      </c>
      <c r="I11" s="1">
        <v>4626.1499999999996</v>
      </c>
      <c r="J11" s="1">
        <v>5</v>
      </c>
      <c r="K11" s="1">
        <v>0</v>
      </c>
      <c r="L11" s="1"/>
      <c r="M11" s="15" t="str">
        <f t="shared" si="0"/>
        <v>Neutral</v>
      </c>
      <c r="N11" s="7" t="s">
        <v>42</v>
      </c>
    </row>
    <row r="12" spans="1:16" ht="27" customHeight="1" x14ac:dyDescent="0.45">
      <c r="A12" s="5" t="s">
        <v>59</v>
      </c>
      <c r="B12" s="1" t="s">
        <v>60</v>
      </c>
      <c r="C12" s="1"/>
      <c r="D12" s="1" t="s">
        <v>61</v>
      </c>
      <c r="E12" s="1" t="s">
        <v>62</v>
      </c>
      <c r="F12" s="1" t="s">
        <v>63</v>
      </c>
      <c r="G12" s="1" t="s">
        <v>19</v>
      </c>
      <c r="H12" s="1" t="s">
        <v>64</v>
      </c>
      <c r="I12" s="1">
        <v>2616.96</v>
      </c>
      <c r="J12" s="1">
        <v>4</v>
      </c>
      <c r="K12" s="1">
        <v>0</v>
      </c>
      <c r="L12" s="1">
        <v>1151.4000000000001</v>
      </c>
      <c r="M12" s="15" t="str">
        <f t="shared" si="0"/>
        <v>Profit</v>
      </c>
      <c r="N12" s="7" t="s">
        <v>31</v>
      </c>
    </row>
    <row r="13" spans="1:16" ht="27" customHeight="1" x14ac:dyDescent="0.45">
      <c r="A13" s="5" t="s">
        <v>65</v>
      </c>
      <c r="B13" s="1" t="s">
        <v>66</v>
      </c>
      <c r="C13" s="1" t="s">
        <v>66</v>
      </c>
      <c r="D13" s="1" t="s">
        <v>67</v>
      </c>
      <c r="E13" s="1" t="s">
        <v>68</v>
      </c>
      <c r="F13" s="1" t="s">
        <v>69</v>
      </c>
      <c r="G13" s="1" t="s">
        <v>37</v>
      </c>
      <c r="H13" s="1" t="s">
        <v>50</v>
      </c>
      <c r="I13" s="1" t="s">
        <v>70</v>
      </c>
      <c r="J13" s="1" t="s">
        <v>71</v>
      </c>
      <c r="K13" s="1">
        <v>0</v>
      </c>
      <c r="L13" s="1">
        <v>622.02</v>
      </c>
      <c r="M13" s="15" t="str">
        <f t="shared" si="0"/>
        <v>Profit</v>
      </c>
      <c r="N13" s="7" t="s">
        <v>31</v>
      </c>
    </row>
    <row r="14" spans="1:16" ht="27" customHeight="1" x14ac:dyDescent="0.45">
      <c r="A14" s="5" t="s">
        <v>72</v>
      </c>
      <c r="B14" s="2">
        <v>41796</v>
      </c>
      <c r="C14" s="2">
        <v>41857</v>
      </c>
      <c r="D14" s="1" t="s">
        <v>73</v>
      </c>
      <c r="E14" s="1" t="s">
        <v>74</v>
      </c>
      <c r="F14" s="1" t="s">
        <v>75</v>
      </c>
      <c r="G14" s="1" t="s">
        <v>51</v>
      </c>
      <c r="H14" s="1" t="s">
        <v>30</v>
      </c>
      <c r="I14" s="1">
        <v>3701.52</v>
      </c>
      <c r="J14" s="1">
        <v>12</v>
      </c>
      <c r="K14" s="1">
        <v>0</v>
      </c>
      <c r="L14" s="1">
        <v>1036.08</v>
      </c>
      <c r="M14" s="15" t="str">
        <f t="shared" si="0"/>
        <v>Profit</v>
      </c>
      <c r="N14" s="7" t="s">
        <v>31</v>
      </c>
    </row>
    <row r="15" spans="1:16" ht="27" customHeight="1" x14ac:dyDescent="0.45">
      <c r="A15" s="5" t="s">
        <v>76</v>
      </c>
      <c r="B15" s="1" t="s">
        <v>77</v>
      </c>
      <c r="C15" s="2">
        <v>42071</v>
      </c>
      <c r="D15" s="1" t="s">
        <v>78</v>
      </c>
      <c r="E15" s="1" t="s">
        <v>79</v>
      </c>
      <c r="F15" s="1" t="s">
        <v>80</v>
      </c>
      <c r="G15" s="1" t="s">
        <v>51</v>
      </c>
      <c r="H15" s="1" t="s">
        <v>27</v>
      </c>
      <c r="I15" s="1">
        <v>1869.588</v>
      </c>
      <c r="J15" s="1">
        <v>4</v>
      </c>
      <c r="K15" s="1">
        <v>0.1</v>
      </c>
      <c r="L15" s="1"/>
      <c r="M15" s="15" t="str">
        <f t="shared" si="0"/>
        <v>Neutral</v>
      </c>
      <c r="N15" s="7" t="s">
        <v>31</v>
      </c>
    </row>
    <row r="16" spans="1:16" ht="27" customHeight="1" x14ac:dyDescent="0.45">
      <c r="A16" s="5" t="s">
        <v>81</v>
      </c>
      <c r="B16" s="1" t="s">
        <v>82</v>
      </c>
      <c r="C16" s="1" t="s">
        <v>83</v>
      </c>
      <c r="D16" s="1" t="s">
        <v>45</v>
      </c>
      <c r="E16" s="1" t="s">
        <v>46</v>
      </c>
      <c r="F16" s="1" t="s">
        <v>47</v>
      </c>
      <c r="G16" s="1" t="s">
        <v>51</v>
      </c>
      <c r="H16" s="1" t="s">
        <v>84</v>
      </c>
      <c r="I16" s="1">
        <v>12.624000000000001</v>
      </c>
      <c r="J16" s="1">
        <v>2</v>
      </c>
      <c r="K16" s="1">
        <v>0.2</v>
      </c>
      <c r="L16" s="1">
        <v>-2.5247999999999999</v>
      </c>
      <c r="M16" s="15" t="str">
        <f t="shared" si="0"/>
        <v>Loss</v>
      </c>
      <c r="N16" s="7" t="s">
        <v>85</v>
      </c>
    </row>
    <row r="17" spans="1:14" ht="27" customHeight="1" x14ac:dyDescent="0.45">
      <c r="A17" s="5" t="s">
        <v>86</v>
      </c>
      <c r="B17" s="2">
        <v>42225</v>
      </c>
      <c r="C17" s="1" t="s">
        <v>87</v>
      </c>
      <c r="D17" s="1"/>
      <c r="E17" s="1" t="s">
        <v>88</v>
      </c>
      <c r="F17" s="1" t="s">
        <v>89</v>
      </c>
      <c r="G17" s="1" t="s">
        <v>51</v>
      </c>
      <c r="H17" s="1" t="s">
        <v>84</v>
      </c>
      <c r="I17" s="1" t="s">
        <v>90</v>
      </c>
      <c r="J17" s="1">
        <v>14</v>
      </c>
      <c r="K17" s="1">
        <v>0</v>
      </c>
      <c r="L17" s="1">
        <v>3979.08</v>
      </c>
      <c r="M17" s="15" t="str">
        <f t="shared" si="0"/>
        <v>Profit</v>
      </c>
      <c r="N17" s="7" t="s">
        <v>85</v>
      </c>
    </row>
    <row r="18" spans="1:14" ht="27" customHeight="1" x14ac:dyDescent="0.45">
      <c r="A18" s="5" t="s">
        <v>91</v>
      </c>
      <c r="B18" s="1" t="s">
        <v>92</v>
      </c>
      <c r="C18" s="2">
        <v>42006</v>
      </c>
      <c r="D18" s="1" t="s">
        <v>93</v>
      </c>
      <c r="E18" s="1" t="s">
        <v>17</v>
      </c>
      <c r="F18" s="1" t="s">
        <v>18</v>
      </c>
      <c r="G18" s="1"/>
      <c r="H18" s="1" t="s">
        <v>20</v>
      </c>
      <c r="I18" s="1">
        <v>2565.5940000000001</v>
      </c>
      <c r="J18" s="1">
        <v>9</v>
      </c>
      <c r="K18" s="1"/>
      <c r="L18" s="1"/>
      <c r="M18" s="15" t="str">
        <f t="shared" si="0"/>
        <v>Neutral</v>
      </c>
      <c r="N18" s="7" t="s">
        <v>31</v>
      </c>
    </row>
    <row r="19" spans="1:14" ht="27" customHeight="1" x14ac:dyDescent="0.45">
      <c r="A19" s="5" t="s">
        <v>94</v>
      </c>
      <c r="B19" s="2">
        <v>42136</v>
      </c>
      <c r="C19" s="2">
        <v>42197</v>
      </c>
      <c r="D19" s="1" t="s">
        <v>95</v>
      </c>
      <c r="E19" s="1" t="s">
        <v>96</v>
      </c>
      <c r="F19" s="1" t="s">
        <v>97</v>
      </c>
      <c r="G19" s="1" t="s">
        <v>51</v>
      </c>
      <c r="H19" s="1" t="s">
        <v>84</v>
      </c>
      <c r="I19" s="1">
        <v>3409.74</v>
      </c>
      <c r="J19" s="1">
        <v>6</v>
      </c>
      <c r="K19" s="1">
        <v>0</v>
      </c>
      <c r="L19" s="1">
        <v>818.28</v>
      </c>
      <c r="M19" s="15" t="str">
        <f t="shared" si="0"/>
        <v>Profit</v>
      </c>
      <c r="N19" s="7" t="s">
        <v>42</v>
      </c>
    </row>
    <row r="20" spans="1:14" ht="27" customHeight="1" x14ac:dyDescent="0.45">
      <c r="A20" s="5" t="s">
        <v>98</v>
      </c>
      <c r="B20" s="2">
        <v>41494</v>
      </c>
      <c r="C20" s="2">
        <v>41555</v>
      </c>
      <c r="D20" s="3" t="s">
        <v>99</v>
      </c>
      <c r="E20" s="1"/>
      <c r="F20" s="1" t="s">
        <v>100</v>
      </c>
      <c r="G20" s="1" t="s">
        <v>37</v>
      </c>
      <c r="H20" s="1" t="s">
        <v>38</v>
      </c>
      <c r="I20" s="1">
        <v>1977.72</v>
      </c>
      <c r="J20" s="1">
        <v>4</v>
      </c>
      <c r="K20" s="1">
        <v>0</v>
      </c>
      <c r="L20" s="1">
        <v>276.83999999999997</v>
      </c>
      <c r="M20" s="15" t="str">
        <f t="shared" si="0"/>
        <v>Neutral</v>
      </c>
      <c r="N20" s="7" t="s">
        <v>31</v>
      </c>
    </row>
    <row r="21" spans="1:14" ht="27" customHeight="1" x14ac:dyDescent="0.45">
      <c r="A21" s="5" t="s">
        <v>48</v>
      </c>
      <c r="B21" s="2">
        <v>41063</v>
      </c>
      <c r="C21" s="2">
        <v>41093</v>
      </c>
      <c r="D21" s="1" t="s">
        <v>45</v>
      </c>
      <c r="E21" s="1" t="s">
        <v>46</v>
      </c>
      <c r="F21" s="1" t="s">
        <v>49</v>
      </c>
      <c r="G21" s="1" t="s">
        <v>51</v>
      </c>
      <c r="H21" s="1" t="s">
        <v>84</v>
      </c>
      <c r="I21" s="1">
        <v>242.94</v>
      </c>
      <c r="J21" s="1">
        <v>3</v>
      </c>
      <c r="K21" s="1">
        <v>0</v>
      </c>
      <c r="L21" s="1">
        <v>4.8587999999999996</v>
      </c>
      <c r="M21" s="15" t="str">
        <f t="shared" si="0"/>
        <v>Neutral</v>
      </c>
      <c r="N21" s="7" t="s">
        <v>42</v>
      </c>
    </row>
    <row r="22" spans="1:14" ht="27" customHeight="1" x14ac:dyDescent="0.45">
      <c r="A22" s="5" t="s">
        <v>101</v>
      </c>
      <c r="B22" s="2">
        <v>40913</v>
      </c>
      <c r="C22" s="2">
        <v>40944</v>
      </c>
      <c r="D22" s="1" t="s">
        <v>102</v>
      </c>
      <c r="E22" s="1" t="s">
        <v>74</v>
      </c>
      <c r="F22" s="1" t="s">
        <v>103</v>
      </c>
      <c r="G22" s="1" t="s">
        <v>37</v>
      </c>
      <c r="H22" s="1" t="s">
        <v>50</v>
      </c>
      <c r="I22" s="1">
        <v>2754</v>
      </c>
      <c r="J22" s="1">
        <v>6</v>
      </c>
      <c r="K22" s="1">
        <v>0</v>
      </c>
      <c r="L22" s="1">
        <v>358.02</v>
      </c>
      <c r="M22" s="15" t="str">
        <f t="shared" si="0"/>
        <v>Neutral</v>
      </c>
      <c r="N22" s="7" t="s">
        <v>31</v>
      </c>
    </row>
    <row r="23" spans="1:14" ht="27" customHeight="1" x14ac:dyDescent="0.45">
      <c r="A23" s="5" t="s">
        <v>104</v>
      </c>
      <c r="B23" s="1" t="s">
        <v>105</v>
      </c>
      <c r="C23" s="2">
        <v>41642</v>
      </c>
      <c r="D23" s="1" t="s">
        <v>106</v>
      </c>
      <c r="E23" s="1" t="s">
        <v>107</v>
      </c>
      <c r="F23" s="1" t="s">
        <v>108</v>
      </c>
      <c r="G23" s="1" t="s">
        <v>51</v>
      </c>
      <c r="H23" s="1" t="s">
        <v>30</v>
      </c>
      <c r="I23" s="1">
        <v>5273.7</v>
      </c>
      <c r="J23" s="1">
        <v>10</v>
      </c>
      <c r="K23" s="1"/>
      <c r="L23" s="1">
        <v>1898.4</v>
      </c>
      <c r="M23" s="15" t="str">
        <f t="shared" si="0"/>
        <v>Profit</v>
      </c>
      <c r="N23" s="7" t="s">
        <v>42</v>
      </c>
    </row>
    <row r="24" spans="1:14" ht="27" customHeight="1" x14ac:dyDescent="0.45">
      <c r="A24" s="5" t="s">
        <v>109</v>
      </c>
      <c r="B24" s="1" t="s">
        <v>77</v>
      </c>
      <c r="C24" s="2">
        <v>42012</v>
      </c>
      <c r="D24" s="1" t="s">
        <v>110</v>
      </c>
      <c r="E24" s="1" t="s">
        <v>111</v>
      </c>
      <c r="F24" s="1" t="s">
        <v>112</v>
      </c>
      <c r="G24" s="1" t="s">
        <v>19</v>
      </c>
      <c r="H24" s="1" t="s">
        <v>27</v>
      </c>
      <c r="I24" s="1">
        <v>1713.84</v>
      </c>
      <c r="J24" s="1">
        <v>4</v>
      </c>
      <c r="K24" s="1">
        <v>0</v>
      </c>
      <c r="L24" s="1">
        <v>445.52</v>
      </c>
      <c r="M24" s="15" t="str">
        <f t="shared" si="0"/>
        <v>Neutral</v>
      </c>
      <c r="N24" s="7" t="s">
        <v>31</v>
      </c>
    </row>
    <row r="25" spans="1:14" ht="27" customHeight="1" x14ac:dyDescent="0.45">
      <c r="A25" s="5" t="s">
        <v>113</v>
      </c>
      <c r="B25" s="2">
        <v>42133</v>
      </c>
      <c r="C25" s="2">
        <v>42225</v>
      </c>
      <c r="D25" s="1" t="s">
        <v>114</v>
      </c>
      <c r="E25" s="1" t="s">
        <v>115</v>
      </c>
      <c r="F25" s="1" t="s">
        <v>112</v>
      </c>
      <c r="G25" s="1" t="s">
        <v>37</v>
      </c>
      <c r="H25" s="1" t="s">
        <v>84</v>
      </c>
      <c r="I25" s="1">
        <v>2106.4960000000001</v>
      </c>
      <c r="J25" s="1">
        <v>8</v>
      </c>
      <c r="K25" s="1">
        <v>0.2</v>
      </c>
      <c r="L25" s="1">
        <v>526.49599999999998</v>
      </c>
      <c r="M25" s="15" t="str">
        <f t="shared" si="0"/>
        <v>Profit</v>
      </c>
      <c r="N25" s="7" t="s">
        <v>31</v>
      </c>
    </row>
    <row r="26" spans="1:14" ht="27" customHeight="1" x14ac:dyDescent="0.45">
      <c r="A26" s="5" t="s">
        <v>116</v>
      </c>
      <c r="B26" s="1" t="s">
        <v>117</v>
      </c>
      <c r="C26" s="1" t="s">
        <v>118</v>
      </c>
      <c r="D26" s="1" t="s">
        <v>119</v>
      </c>
      <c r="E26" s="1" t="s">
        <v>120</v>
      </c>
      <c r="F26" s="1" t="s">
        <v>103</v>
      </c>
      <c r="G26" s="1" t="s">
        <v>37</v>
      </c>
      <c r="H26" s="1" t="s">
        <v>30</v>
      </c>
      <c r="I26" s="1">
        <v>1715.16</v>
      </c>
      <c r="J26" s="1"/>
      <c r="K26" s="1">
        <v>0</v>
      </c>
      <c r="L26" s="1">
        <v>720.36</v>
      </c>
      <c r="M26" s="15" t="str">
        <f t="shared" si="0"/>
        <v>Profit</v>
      </c>
      <c r="N26" s="7" t="s">
        <v>31</v>
      </c>
    </row>
    <row r="27" spans="1:14" ht="27" customHeight="1" x14ac:dyDescent="0.45">
      <c r="A27" s="6" t="s">
        <v>121</v>
      </c>
      <c r="B27" s="1"/>
      <c r="C27" s="1" t="s">
        <v>122</v>
      </c>
      <c r="D27" s="1" t="s">
        <v>123</v>
      </c>
      <c r="E27" s="1" t="s">
        <v>26</v>
      </c>
      <c r="F27" s="1" t="s">
        <v>124</v>
      </c>
      <c r="G27" s="1" t="s">
        <v>125</v>
      </c>
      <c r="H27" s="1" t="s">
        <v>50</v>
      </c>
      <c r="I27" s="1">
        <v>3069.7379999999998</v>
      </c>
      <c r="J27" s="1">
        <v>6</v>
      </c>
      <c r="K27" s="1">
        <v>0.1</v>
      </c>
      <c r="L27" s="1">
        <v>1364.2380000000001</v>
      </c>
      <c r="M27" s="15" t="str">
        <f t="shared" si="0"/>
        <v>Profit</v>
      </c>
      <c r="N27" s="7" t="s">
        <v>31</v>
      </c>
    </row>
    <row r="28" spans="1:14" ht="27" customHeight="1" x14ac:dyDescent="0.45">
      <c r="A28" s="5" t="s">
        <v>126</v>
      </c>
      <c r="B28" s="1" t="s">
        <v>127</v>
      </c>
      <c r="C28" s="1" t="s">
        <v>128</v>
      </c>
      <c r="D28" s="1" t="s">
        <v>129</v>
      </c>
      <c r="E28" s="1" t="s">
        <v>46</v>
      </c>
      <c r="F28" s="1" t="s">
        <v>130</v>
      </c>
      <c r="G28" s="1" t="s">
        <v>51</v>
      </c>
      <c r="H28" s="1" t="s">
        <v>50</v>
      </c>
      <c r="I28" s="1">
        <v>247.84</v>
      </c>
      <c r="J28" s="1">
        <v>8</v>
      </c>
      <c r="K28" s="1">
        <v>0</v>
      </c>
      <c r="L28" s="1">
        <v>121.44159999999999</v>
      </c>
      <c r="M28" s="15" t="str">
        <f t="shared" si="0"/>
        <v>Neutral</v>
      </c>
      <c r="N28" s="7" t="s">
        <v>31</v>
      </c>
    </row>
    <row r="29" spans="1:14" ht="27" customHeight="1" x14ac:dyDescent="0.45">
      <c r="A29" s="5" t="s">
        <v>131</v>
      </c>
      <c r="B29" s="1" t="s">
        <v>132</v>
      </c>
      <c r="C29" s="1" t="s">
        <v>132</v>
      </c>
      <c r="D29" s="1" t="s">
        <v>133</v>
      </c>
      <c r="E29" s="1" t="s">
        <v>134</v>
      </c>
      <c r="F29" s="1" t="s">
        <v>58</v>
      </c>
      <c r="G29" s="1" t="s">
        <v>37</v>
      </c>
      <c r="H29" s="1" t="s">
        <v>84</v>
      </c>
      <c r="I29" s="1">
        <v>1878.72</v>
      </c>
      <c r="J29" s="1">
        <v>4</v>
      </c>
      <c r="K29" s="1"/>
      <c r="L29" s="1">
        <v>582.36</v>
      </c>
      <c r="M29" s="15" t="str">
        <f t="shared" si="0"/>
        <v>Profit</v>
      </c>
      <c r="N29" s="7" t="s">
        <v>31</v>
      </c>
    </row>
    <row r="30" spans="1:14" ht="27" customHeight="1" x14ac:dyDescent="0.45">
      <c r="A30" s="5" t="s">
        <v>135</v>
      </c>
      <c r="B30" s="1" t="s">
        <v>136</v>
      </c>
      <c r="C30" s="4">
        <v>41272</v>
      </c>
      <c r="D30" s="1" t="s">
        <v>137</v>
      </c>
      <c r="E30" s="1" t="s">
        <v>138</v>
      </c>
      <c r="F30" s="1" t="s">
        <v>139</v>
      </c>
      <c r="G30" s="1" t="s">
        <v>19</v>
      </c>
      <c r="H30" s="1" t="s">
        <v>30</v>
      </c>
      <c r="I30" s="1">
        <v>1696.64</v>
      </c>
      <c r="J30" s="1">
        <v>5</v>
      </c>
      <c r="K30" s="1"/>
      <c r="L30" s="1">
        <v>-148.46</v>
      </c>
      <c r="M30" s="15" t="str">
        <f t="shared" si="0"/>
        <v>Loss</v>
      </c>
      <c r="N30" s="7" t="s">
        <v>31</v>
      </c>
    </row>
    <row r="31" spans="1:14" ht="27" customHeight="1" x14ac:dyDescent="0.45">
      <c r="A31" s="5" t="s">
        <v>140</v>
      </c>
      <c r="B31" s="1" t="s">
        <v>141</v>
      </c>
      <c r="C31" s="1" t="s">
        <v>142</v>
      </c>
      <c r="D31" s="1" t="s">
        <v>143</v>
      </c>
      <c r="E31" s="1" t="s">
        <v>79</v>
      </c>
      <c r="F31" s="1" t="s">
        <v>80</v>
      </c>
      <c r="G31" s="1" t="s">
        <v>19</v>
      </c>
      <c r="H31" s="1" t="s">
        <v>27</v>
      </c>
      <c r="I31" s="1">
        <v>2402.8649999999998</v>
      </c>
      <c r="J31" s="1">
        <v>9</v>
      </c>
      <c r="K31" s="1">
        <v>0.15</v>
      </c>
      <c r="L31" s="1">
        <v>763.15499999999997</v>
      </c>
      <c r="M31" s="15" t="str">
        <f t="shared" si="0"/>
        <v>Profit</v>
      </c>
      <c r="N31" s="7" t="s">
        <v>31</v>
      </c>
    </row>
    <row r="32" spans="1:14" ht="27" customHeight="1" x14ac:dyDescent="0.45">
      <c r="A32" s="5" t="s">
        <v>144</v>
      </c>
      <c r="B32" s="1" t="s">
        <v>145</v>
      </c>
      <c r="C32" s="1" t="s">
        <v>146</v>
      </c>
      <c r="D32" s="1" t="s">
        <v>129</v>
      </c>
      <c r="E32" s="1" t="s">
        <v>46</v>
      </c>
      <c r="F32" s="1" t="s">
        <v>49</v>
      </c>
      <c r="G32" s="1" t="s">
        <v>19</v>
      </c>
      <c r="H32" s="1" t="s">
        <v>30</v>
      </c>
      <c r="I32" s="1">
        <v>668.16</v>
      </c>
      <c r="J32" s="1">
        <v>9</v>
      </c>
      <c r="K32" s="1">
        <v>0.2</v>
      </c>
      <c r="L32" s="1">
        <v>75.168000000000006</v>
      </c>
      <c r="M32" s="15" t="str">
        <f t="shared" si="0"/>
        <v>Neutral</v>
      </c>
      <c r="N32" s="7" t="s">
        <v>21</v>
      </c>
    </row>
    <row r="33" spans="1:14" ht="27" customHeight="1" x14ac:dyDescent="0.45">
      <c r="A33" s="5" t="s">
        <v>147</v>
      </c>
      <c r="B33" s="1" t="s">
        <v>148</v>
      </c>
      <c r="C33" s="2">
        <v>41010</v>
      </c>
      <c r="D33" s="1" t="s">
        <v>149</v>
      </c>
      <c r="E33" s="1" t="s">
        <v>17</v>
      </c>
      <c r="F33" s="1" t="s">
        <v>18</v>
      </c>
      <c r="G33" s="1" t="s">
        <v>51</v>
      </c>
      <c r="H33" s="1" t="s">
        <v>150</v>
      </c>
      <c r="I33" s="1">
        <v>2526.9299999999998</v>
      </c>
      <c r="J33" s="1">
        <v>5</v>
      </c>
      <c r="K33" s="1">
        <v>0.1</v>
      </c>
      <c r="L33" s="1">
        <v>561.48</v>
      </c>
      <c r="M33" s="15" t="str">
        <f t="shared" si="0"/>
        <v>Profit</v>
      </c>
      <c r="N33" s="7" t="s">
        <v>31</v>
      </c>
    </row>
    <row r="34" spans="1:14" ht="27" customHeight="1" x14ac:dyDescent="0.45">
      <c r="A34" s="5" t="s">
        <v>151</v>
      </c>
      <c r="B34" s="1" t="s">
        <v>145</v>
      </c>
      <c r="C34" s="1" t="s">
        <v>146</v>
      </c>
      <c r="D34" s="1" t="s">
        <v>129</v>
      </c>
      <c r="E34" s="1" t="s">
        <v>46</v>
      </c>
      <c r="F34" s="1" t="s">
        <v>49</v>
      </c>
      <c r="G34" s="1" t="s">
        <v>51</v>
      </c>
      <c r="H34" s="1" t="s">
        <v>27</v>
      </c>
      <c r="I34" s="1">
        <v>323.10000000000002</v>
      </c>
      <c r="J34" s="1">
        <v>2</v>
      </c>
      <c r="K34" s="1">
        <v>0</v>
      </c>
      <c r="L34" s="1">
        <v>61.389000000000003</v>
      </c>
      <c r="M34" s="15" t="str">
        <f t="shared" ref="M34:M65" si="1">IF(L34&gt;500,"Profit",IF(L34&lt;0,"Loss","Neutral"))</f>
        <v>Neutral</v>
      </c>
      <c r="N34" s="7" t="s">
        <v>21</v>
      </c>
    </row>
    <row r="35" spans="1:14" ht="27" customHeight="1" x14ac:dyDescent="0.45">
      <c r="A35" s="5" t="s">
        <v>152</v>
      </c>
      <c r="B35" s="1" t="s">
        <v>153</v>
      </c>
      <c r="C35" s="1" t="s">
        <v>154</v>
      </c>
      <c r="D35" s="1" t="s">
        <v>129</v>
      </c>
      <c r="E35" s="1" t="s">
        <v>155</v>
      </c>
      <c r="F35" s="1" t="s">
        <v>156</v>
      </c>
      <c r="G35" s="1" t="s">
        <v>157</v>
      </c>
      <c r="H35" s="1" t="s">
        <v>84</v>
      </c>
      <c r="I35" s="1">
        <v>3817.26</v>
      </c>
      <c r="J35" s="1">
        <v>6</v>
      </c>
      <c r="K35" s="1">
        <v>0</v>
      </c>
      <c r="L35" s="1">
        <v>1068.6600000000001</v>
      </c>
      <c r="M35" s="15" t="str">
        <f t="shared" si="1"/>
        <v>Profit</v>
      </c>
      <c r="N35" s="7" t="s">
        <v>42</v>
      </c>
    </row>
    <row r="36" spans="1:14" ht="27" customHeight="1" x14ac:dyDescent="0.45">
      <c r="A36" s="5" t="s">
        <v>158</v>
      </c>
      <c r="B36" s="2">
        <v>41248</v>
      </c>
      <c r="C36" s="4">
        <v>41047</v>
      </c>
      <c r="D36" s="1" t="s">
        <v>129</v>
      </c>
      <c r="E36" s="1" t="s">
        <v>46</v>
      </c>
      <c r="F36" s="1" t="s">
        <v>49</v>
      </c>
      <c r="G36" s="1" t="s">
        <v>37</v>
      </c>
      <c r="H36" s="1" t="s">
        <v>50</v>
      </c>
      <c r="I36" s="1">
        <v>279.45600000000002</v>
      </c>
      <c r="J36" s="1">
        <v>6</v>
      </c>
      <c r="K36" s="1">
        <v>0.2</v>
      </c>
      <c r="L36" s="1">
        <v>20.959199999999999</v>
      </c>
      <c r="M36" s="15" t="str">
        <f t="shared" si="1"/>
        <v>Neutral</v>
      </c>
      <c r="N36" s="7" t="s">
        <v>21</v>
      </c>
    </row>
    <row r="37" spans="1:14" ht="27" customHeight="1" x14ac:dyDescent="0.45">
      <c r="A37" s="5" t="s">
        <v>159</v>
      </c>
      <c r="B37" s="1" t="s">
        <v>160</v>
      </c>
      <c r="C37" s="1" t="s">
        <v>161</v>
      </c>
      <c r="D37" s="1"/>
      <c r="E37" s="1" t="s">
        <v>46</v>
      </c>
      <c r="F37" s="1" t="s">
        <v>130</v>
      </c>
      <c r="G37" s="1" t="s">
        <v>19</v>
      </c>
      <c r="H37" s="1" t="s">
        <v>30</v>
      </c>
      <c r="I37" s="1">
        <v>34.770000000000003</v>
      </c>
      <c r="J37" s="1">
        <v>3</v>
      </c>
      <c r="K37" s="1">
        <v>0</v>
      </c>
      <c r="L37" s="1">
        <v>11.4741</v>
      </c>
      <c r="M37" s="15" t="str">
        <f t="shared" si="1"/>
        <v>Neutral</v>
      </c>
      <c r="N37" s="7" t="s">
        <v>42</v>
      </c>
    </row>
    <row r="38" spans="1:14" ht="27" customHeight="1" x14ac:dyDescent="0.45">
      <c r="A38" s="5" t="s">
        <v>162</v>
      </c>
      <c r="B38" s="1" t="s">
        <v>163</v>
      </c>
      <c r="C38" s="1" t="s">
        <v>164</v>
      </c>
      <c r="D38" s="1"/>
      <c r="E38" s="1" t="s">
        <v>107</v>
      </c>
      <c r="F38" s="1" t="s">
        <v>108</v>
      </c>
      <c r="G38" s="1" t="s">
        <v>19</v>
      </c>
      <c r="H38" s="1" t="s">
        <v>150</v>
      </c>
      <c r="I38" s="1">
        <v>4141.0200000000004</v>
      </c>
      <c r="J38" s="1">
        <v>13</v>
      </c>
      <c r="K38" s="1">
        <v>0</v>
      </c>
      <c r="L38" s="1">
        <v>1697.67</v>
      </c>
      <c r="M38" s="15" t="str">
        <f t="shared" si="1"/>
        <v>Profit</v>
      </c>
      <c r="N38" s="7" t="s">
        <v>42</v>
      </c>
    </row>
    <row r="39" spans="1:14" ht="27" customHeight="1" x14ac:dyDescent="0.45">
      <c r="A39" s="5" t="s">
        <v>165</v>
      </c>
      <c r="B39" s="2">
        <v>41183</v>
      </c>
      <c r="C39" s="2">
        <v>40919</v>
      </c>
      <c r="D39" s="1" t="s">
        <v>166</v>
      </c>
      <c r="E39" s="1" t="s">
        <v>17</v>
      </c>
      <c r="F39" s="1" t="s">
        <v>18</v>
      </c>
      <c r="G39" s="1" t="s">
        <v>19</v>
      </c>
      <c r="H39" s="1" t="s">
        <v>150</v>
      </c>
      <c r="I39" s="1">
        <v>2875.0949999999998</v>
      </c>
      <c r="J39" s="1">
        <v>5</v>
      </c>
      <c r="K39" s="1">
        <v>0.1</v>
      </c>
      <c r="L39" s="1">
        <v>511.09500000000003</v>
      </c>
      <c r="M39" s="15" t="str">
        <f t="shared" si="1"/>
        <v>Profit</v>
      </c>
      <c r="N39" s="7" t="s">
        <v>21</v>
      </c>
    </row>
    <row r="40" spans="1:14" ht="27" customHeight="1" x14ac:dyDescent="0.45">
      <c r="A40" s="5" t="s">
        <v>167</v>
      </c>
      <c r="B40" s="1" t="s">
        <v>168</v>
      </c>
      <c r="C40" s="1" t="s">
        <v>169</v>
      </c>
      <c r="D40" s="1" t="s">
        <v>170</v>
      </c>
      <c r="E40" s="1" t="s">
        <v>171</v>
      </c>
      <c r="F40" s="1" t="s">
        <v>172</v>
      </c>
      <c r="G40" s="1" t="s">
        <v>19</v>
      </c>
      <c r="H40" s="1" t="s">
        <v>38</v>
      </c>
      <c r="I40" s="1">
        <v>3200.5962</v>
      </c>
      <c r="J40" s="1">
        <v>6</v>
      </c>
      <c r="K40" s="1">
        <v>0.17</v>
      </c>
      <c r="L40" s="1">
        <v>-77.203800000000001</v>
      </c>
      <c r="M40" s="15" t="str">
        <f t="shared" si="1"/>
        <v>Loss</v>
      </c>
      <c r="N40" s="7" t="s">
        <v>42</v>
      </c>
    </row>
    <row r="41" spans="1:14" ht="27" customHeight="1" x14ac:dyDescent="0.45">
      <c r="A41" s="5" t="s">
        <v>173</v>
      </c>
      <c r="B41" s="2">
        <v>42319</v>
      </c>
      <c r="C41" s="1" t="s">
        <v>174</v>
      </c>
      <c r="D41" s="1" t="s">
        <v>175</v>
      </c>
      <c r="E41" s="1" t="s">
        <v>134</v>
      </c>
      <c r="F41" s="1" t="s">
        <v>58</v>
      </c>
      <c r="G41" s="1" t="s">
        <v>19</v>
      </c>
      <c r="H41" s="1" t="s">
        <v>30</v>
      </c>
      <c r="I41" s="1">
        <v>4518.78</v>
      </c>
      <c r="J41" s="1">
        <v>7</v>
      </c>
      <c r="K41" s="1">
        <v>0</v>
      </c>
      <c r="L41" s="1">
        <v>632.52</v>
      </c>
      <c r="M41" s="15" t="str">
        <f t="shared" si="1"/>
        <v>Profit</v>
      </c>
      <c r="N41" s="7" t="s">
        <v>42</v>
      </c>
    </row>
    <row r="42" spans="1:14" ht="27" customHeight="1" x14ac:dyDescent="0.45">
      <c r="A42" s="5" t="s">
        <v>176</v>
      </c>
      <c r="B42" s="1" t="s">
        <v>177</v>
      </c>
      <c r="C42" s="1" t="s">
        <v>178</v>
      </c>
      <c r="D42" s="1" t="s">
        <v>179</v>
      </c>
      <c r="E42" s="1" t="s">
        <v>134</v>
      </c>
      <c r="F42" s="1" t="s">
        <v>58</v>
      </c>
      <c r="G42" s="1" t="s">
        <v>37</v>
      </c>
      <c r="H42" s="1" t="s">
        <v>30</v>
      </c>
      <c r="I42" s="1">
        <v>5667.87</v>
      </c>
      <c r="J42" s="1">
        <v>13</v>
      </c>
      <c r="K42" s="1">
        <v>0</v>
      </c>
      <c r="L42" s="1">
        <v>2097.0300000000002</v>
      </c>
      <c r="M42" s="15" t="str">
        <f t="shared" si="1"/>
        <v>Profit</v>
      </c>
      <c r="N42" s="7" t="s">
        <v>21</v>
      </c>
    </row>
    <row r="43" spans="1:14" ht="27" customHeight="1" x14ac:dyDescent="0.45">
      <c r="A43" s="5" t="s">
        <v>180</v>
      </c>
      <c r="B43" s="1" t="s">
        <v>181</v>
      </c>
      <c r="C43" s="1" t="s">
        <v>182</v>
      </c>
      <c r="D43" s="1" t="s">
        <v>183</v>
      </c>
      <c r="E43" s="1" t="s">
        <v>107</v>
      </c>
      <c r="F43" s="1" t="s">
        <v>108</v>
      </c>
      <c r="G43" s="1" t="s">
        <v>19</v>
      </c>
      <c r="H43" s="1" t="s">
        <v>30</v>
      </c>
      <c r="I43" s="1">
        <v>5785.02</v>
      </c>
      <c r="J43" s="1">
        <v>9</v>
      </c>
      <c r="K43" s="1">
        <v>0</v>
      </c>
      <c r="L43" s="1">
        <v>404.73</v>
      </c>
      <c r="M43" s="15" t="str">
        <f t="shared" si="1"/>
        <v>Neutral</v>
      </c>
      <c r="N43" s="7" t="s">
        <v>42</v>
      </c>
    </row>
    <row r="44" spans="1:14" ht="27" customHeight="1" x14ac:dyDescent="0.45">
      <c r="A44" s="5" t="s">
        <v>184</v>
      </c>
      <c r="B44" s="1" t="s">
        <v>185</v>
      </c>
      <c r="C44" s="1" t="s">
        <v>186</v>
      </c>
      <c r="D44" s="1" t="s">
        <v>187</v>
      </c>
      <c r="E44" s="1" t="s">
        <v>26</v>
      </c>
      <c r="F44" s="1" t="s">
        <v>80</v>
      </c>
      <c r="G44" s="1" t="s">
        <v>51</v>
      </c>
      <c r="H44" s="1" t="s">
        <v>188</v>
      </c>
      <c r="I44" s="1">
        <v>3018.6239999999998</v>
      </c>
      <c r="J44" s="1">
        <v>7</v>
      </c>
      <c r="K44" s="1">
        <v>0.2</v>
      </c>
      <c r="L44" s="1">
        <v>377.24400000000003</v>
      </c>
      <c r="M44" s="15" t="str">
        <f t="shared" si="1"/>
        <v>Neutral</v>
      </c>
      <c r="N44" s="7" t="s">
        <v>31</v>
      </c>
    </row>
    <row r="45" spans="1:14" ht="27" customHeight="1" x14ac:dyDescent="0.45">
      <c r="A45" s="5" t="s">
        <v>189</v>
      </c>
      <c r="B45" s="1" t="s">
        <v>190</v>
      </c>
      <c r="C45" s="1" t="s">
        <v>191</v>
      </c>
      <c r="D45" s="1"/>
      <c r="E45" s="1" t="s">
        <v>46</v>
      </c>
      <c r="F45" s="1" t="s">
        <v>192</v>
      </c>
      <c r="G45" s="1" t="s">
        <v>37</v>
      </c>
      <c r="H45" s="1" t="s">
        <v>30</v>
      </c>
      <c r="I45" s="1">
        <v>86.45</v>
      </c>
      <c r="J45" s="1">
        <v>7</v>
      </c>
      <c r="K45" s="1">
        <v>0</v>
      </c>
      <c r="L45" s="1"/>
      <c r="M45" s="15" t="str">
        <f t="shared" si="1"/>
        <v>Neutral</v>
      </c>
      <c r="N45" s="7" t="s">
        <v>21</v>
      </c>
    </row>
    <row r="46" spans="1:14" ht="27" customHeight="1" x14ac:dyDescent="0.45">
      <c r="A46" s="5" t="s">
        <v>193</v>
      </c>
      <c r="B46" s="2">
        <v>41854</v>
      </c>
      <c r="C46" s="2">
        <v>41706</v>
      </c>
      <c r="D46" s="1" t="s">
        <v>194</v>
      </c>
      <c r="E46" s="1" t="s">
        <v>79</v>
      </c>
      <c r="F46" s="1" t="s">
        <v>80</v>
      </c>
      <c r="G46" s="1" t="s">
        <v>37</v>
      </c>
      <c r="H46" s="1" t="s">
        <v>84</v>
      </c>
      <c r="I46" s="1">
        <v>2092.5</v>
      </c>
      <c r="J46" s="1">
        <v>5</v>
      </c>
      <c r="K46" s="1">
        <v>0.1</v>
      </c>
      <c r="L46" s="1">
        <v>720.75</v>
      </c>
      <c r="M46" s="15" t="str">
        <f t="shared" si="1"/>
        <v>Profit</v>
      </c>
      <c r="N46" s="7" t="s">
        <v>31</v>
      </c>
    </row>
    <row r="47" spans="1:14" ht="27" customHeight="1" x14ac:dyDescent="0.45">
      <c r="A47" s="5" t="s">
        <v>195</v>
      </c>
      <c r="B47" s="1" t="s">
        <v>196</v>
      </c>
      <c r="C47" s="1" t="s">
        <v>197</v>
      </c>
      <c r="D47" s="1" t="s">
        <v>198</v>
      </c>
      <c r="E47" s="1" t="s">
        <v>74</v>
      </c>
      <c r="F47" s="1" t="s">
        <v>103</v>
      </c>
      <c r="G47" s="1" t="s">
        <v>37</v>
      </c>
      <c r="H47" s="1" t="s">
        <v>52</v>
      </c>
      <c r="I47" s="1">
        <v>2761.2</v>
      </c>
      <c r="J47" s="1">
        <v>6</v>
      </c>
      <c r="K47" s="1">
        <v>0</v>
      </c>
      <c r="L47" s="1">
        <v>110.34</v>
      </c>
      <c r="M47" s="15" t="str">
        <f t="shared" si="1"/>
        <v>Neutral</v>
      </c>
      <c r="N47" s="7" t="s">
        <v>42</v>
      </c>
    </row>
    <row r="48" spans="1:14" ht="27" customHeight="1" x14ac:dyDescent="0.45">
      <c r="A48" s="5" t="s">
        <v>199</v>
      </c>
      <c r="B48" s="2">
        <v>42009</v>
      </c>
      <c r="C48" s="2">
        <v>42009</v>
      </c>
      <c r="D48" s="1" t="s">
        <v>200</v>
      </c>
      <c r="E48" s="1" t="s">
        <v>134</v>
      </c>
      <c r="F48" s="1" t="s">
        <v>58</v>
      </c>
      <c r="G48" s="1" t="s">
        <v>19</v>
      </c>
      <c r="H48" s="1" t="s">
        <v>27</v>
      </c>
      <c r="I48" s="1">
        <v>2174.13</v>
      </c>
      <c r="J48" s="1">
        <v>7</v>
      </c>
      <c r="K48" s="1"/>
      <c r="L48" s="1">
        <v>500.01</v>
      </c>
      <c r="M48" s="15" t="str">
        <f t="shared" si="1"/>
        <v>Profit</v>
      </c>
      <c r="N48" s="7" t="s">
        <v>31</v>
      </c>
    </row>
    <row r="49" spans="1:14" ht="27" customHeight="1" x14ac:dyDescent="0.45">
      <c r="A49" s="5" t="s">
        <v>201</v>
      </c>
      <c r="B49" s="1" t="s">
        <v>148</v>
      </c>
      <c r="C49" s="1" t="s">
        <v>202</v>
      </c>
      <c r="D49" s="1" t="s">
        <v>203</v>
      </c>
      <c r="E49" s="1" t="s">
        <v>204</v>
      </c>
      <c r="F49" s="1" t="s">
        <v>69</v>
      </c>
      <c r="G49" s="1" t="s">
        <v>37</v>
      </c>
      <c r="H49" s="1" t="s">
        <v>27</v>
      </c>
      <c r="I49" s="1" t="s">
        <v>205</v>
      </c>
      <c r="J49" s="1">
        <v>11</v>
      </c>
      <c r="K49" s="1">
        <v>0</v>
      </c>
      <c r="L49" s="1">
        <v>868.12</v>
      </c>
      <c r="M49" s="15" t="str">
        <f t="shared" si="1"/>
        <v>Profit</v>
      </c>
      <c r="N49" s="7" t="s">
        <v>42</v>
      </c>
    </row>
    <row r="50" spans="1:14" ht="27" customHeight="1" x14ac:dyDescent="0.45">
      <c r="A50" s="5" t="s">
        <v>206</v>
      </c>
      <c r="B50" s="1" t="s">
        <v>207</v>
      </c>
      <c r="C50" s="1" t="s">
        <v>208</v>
      </c>
      <c r="D50" s="1" t="s">
        <v>129</v>
      </c>
      <c r="E50" s="1" t="s">
        <v>46</v>
      </c>
      <c r="F50" s="1" t="s">
        <v>49</v>
      </c>
      <c r="G50" s="1" t="s">
        <v>209</v>
      </c>
      <c r="H50" s="1" t="s">
        <v>150</v>
      </c>
      <c r="I50" s="1">
        <v>49.408000000000001</v>
      </c>
      <c r="J50" s="1">
        <v>4</v>
      </c>
      <c r="K50" s="1">
        <v>0.2</v>
      </c>
      <c r="L50" s="1"/>
      <c r="M50" s="15" t="str">
        <f t="shared" si="1"/>
        <v>Neutral</v>
      </c>
      <c r="N50" s="7" t="s">
        <v>42</v>
      </c>
    </row>
    <row r="51" spans="1:14" ht="27" customHeight="1" x14ac:dyDescent="0.45">
      <c r="A51" s="5" t="s">
        <v>210</v>
      </c>
      <c r="B51" s="1" t="s">
        <v>211</v>
      </c>
      <c r="C51" s="1" t="s">
        <v>212</v>
      </c>
      <c r="D51" s="1" t="s">
        <v>213</v>
      </c>
      <c r="E51" s="1" t="s">
        <v>214</v>
      </c>
      <c r="F51" s="1" t="s">
        <v>215</v>
      </c>
      <c r="G51" s="1" t="s">
        <v>19</v>
      </c>
      <c r="H51" s="1" t="s">
        <v>27</v>
      </c>
      <c r="I51" s="1">
        <v>2108.64</v>
      </c>
      <c r="J51" s="1">
        <v>8</v>
      </c>
      <c r="K51" s="1">
        <v>0</v>
      </c>
      <c r="L51" s="1">
        <v>527.04</v>
      </c>
      <c r="M51" s="15" t="str">
        <f t="shared" si="1"/>
        <v>Profit</v>
      </c>
      <c r="N51" s="7" t="s">
        <v>31</v>
      </c>
    </row>
    <row r="52" spans="1:14" ht="27" customHeight="1" x14ac:dyDescent="0.45">
      <c r="A52" s="5" t="s">
        <v>159</v>
      </c>
      <c r="B52" s="1" t="s">
        <v>160</v>
      </c>
      <c r="C52" s="1" t="s">
        <v>161</v>
      </c>
      <c r="D52" s="1" t="s">
        <v>129</v>
      </c>
      <c r="E52" s="1" t="s">
        <v>46</v>
      </c>
      <c r="F52" s="1" t="s">
        <v>130</v>
      </c>
      <c r="G52" s="1" t="s">
        <v>51</v>
      </c>
      <c r="H52" s="1" t="s">
        <v>52</v>
      </c>
      <c r="I52" s="1"/>
      <c r="J52" s="1">
        <v>3</v>
      </c>
      <c r="K52" s="1">
        <v>0</v>
      </c>
      <c r="L52" s="1">
        <v>8.6940000000000008</v>
      </c>
      <c r="M52" s="15" t="str">
        <f t="shared" si="1"/>
        <v>Neutral</v>
      </c>
      <c r="N52" s="7" t="s">
        <v>42</v>
      </c>
    </row>
    <row r="53" spans="1:14" ht="27" customHeight="1" x14ac:dyDescent="0.45">
      <c r="A53" s="5" t="s">
        <v>116</v>
      </c>
      <c r="B53" s="4">
        <v>41259</v>
      </c>
      <c r="C53" s="1" t="s">
        <v>118</v>
      </c>
      <c r="D53" s="1" t="s">
        <v>119</v>
      </c>
      <c r="E53" s="1" t="s">
        <v>120</v>
      </c>
      <c r="F53" s="1" t="s">
        <v>103</v>
      </c>
      <c r="G53" s="1" t="s">
        <v>37</v>
      </c>
      <c r="H53" s="1" t="s">
        <v>38</v>
      </c>
      <c r="I53" s="1"/>
      <c r="J53" s="1">
        <v>5</v>
      </c>
      <c r="K53" s="1">
        <v>0</v>
      </c>
      <c r="L53" s="1"/>
      <c r="M53" s="15" t="str">
        <f t="shared" si="1"/>
        <v>Neutral</v>
      </c>
      <c r="N53" s="7" t="s">
        <v>31</v>
      </c>
    </row>
    <row r="54" spans="1:14" ht="27" customHeight="1" x14ac:dyDescent="0.45">
      <c r="A54" s="5" t="s">
        <v>216</v>
      </c>
      <c r="B54" s="1" t="s">
        <v>217</v>
      </c>
      <c r="C54" s="1" t="s">
        <v>217</v>
      </c>
      <c r="D54" s="1" t="s">
        <v>218</v>
      </c>
      <c r="E54" s="1" t="s">
        <v>219</v>
      </c>
      <c r="F54" s="1" t="s">
        <v>97</v>
      </c>
      <c r="G54" s="1" t="s">
        <v>19</v>
      </c>
      <c r="H54" s="1" t="s">
        <v>38</v>
      </c>
      <c r="I54" s="1">
        <v>2582.16</v>
      </c>
      <c r="J54" s="1">
        <v>4</v>
      </c>
      <c r="K54" s="1">
        <v>0</v>
      </c>
      <c r="L54" s="1">
        <v>593.88</v>
      </c>
      <c r="M54" s="15" t="str">
        <f t="shared" si="1"/>
        <v>Profit</v>
      </c>
      <c r="N54" s="7"/>
    </row>
    <row r="55" spans="1:14" ht="27" customHeight="1" x14ac:dyDescent="0.45">
      <c r="A55" s="5" t="s">
        <v>220</v>
      </c>
      <c r="B55" s="1" t="s">
        <v>221</v>
      </c>
      <c r="C55" s="1" t="s">
        <v>222</v>
      </c>
      <c r="D55" s="1" t="s">
        <v>223</v>
      </c>
      <c r="E55" s="1" t="s">
        <v>134</v>
      </c>
      <c r="F55" s="1" t="s">
        <v>58</v>
      </c>
      <c r="G55" s="1" t="s">
        <v>19</v>
      </c>
      <c r="H55" s="1" t="s">
        <v>188</v>
      </c>
      <c r="I55" s="1">
        <v>1526.52</v>
      </c>
      <c r="J55" s="1">
        <v>4</v>
      </c>
      <c r="K55" s="1">
        <v>0</v>
      </c>
      <c r="L55" s="1">
        <v>732.72</v>
      </c>
      <c r="M55" s="15" t="str">
        <f t="shared" si="1"/>
        <v>Profit</v>
      </c>
      <c r="N55" s="7" t="s">
        <v>31</v>
      </c>
    </row>
    <row r="56" spans="1:14" ht="27" customHeight="1" x14ac:dyDescent="0.45">
      <c r="A56" s="5" t="s">
        <v>126</v>
      </c>
      <c r="B56" s="1" t="s">
        <v>127</v>
      </c>
      <c r="C56" s="1" t="s">
        <v>128</v>
      </c>
      <c r="D56" s="1" t="s">
        <v>129</v>
      </c>
      <c r="E56" s="1" t="s">
        <v>46</v>
      </c>
      <c r="F56" s="3" t="s">
        <v>224</v>
      </c>
      <c r="G56" s="1"/>
      <c r="H56" s="1" t="s">
        <v>30</v>
      </c>
      <c r="I56" s="1">
        <v>9.9120000000000008</v>
      </c>
      <c r="J56" s="1">
        <v>3</v>
      </c>
      <c r="K56" s="1">
        <v>0.2</v>
      </c>
      <c r="L56" s="1"/>
      <c r="M56" s="15" t="str">
        <f t="shared" si="1"/>
        <v>Neutral</v>
      </c>
      <c r="N56" s="7" t="s">
        <v>31</v>
      </c>
    </row>
    <row r="57" spans="1:14" ht="27" customHeight="1" x14ac:dyDescent="0.45">
      <c r="A57" s="5" t="s">
        <v>225</v>
      </c>
      <c r="B57" s="1" t="s">
        <v>226</v>
      </c>
      <c r="C57" s="1" t="s">
        <v>227</v>
      </c>
      <c r="D57" s="1" t="s">
        <v>228</v>
      </c>
      <c r="E57" s="1" t="s">
        <v>134</v>
      </c>
      <c r="F57" s="1" t="s">
        <v>58</v>
      </c>
      <c r="G57" s="1" t="s">
        <v>37</v>
      </c>
      <c r="H57" s="1" t="s">
        <v>38</v>
      </c>
      <c r="I57" s="1">
        <v>1745.34</v>
      </c>
      <c r="J57" s="1">
        <v>2</v>
      </c>
      <c r="K57" s="1">
        <v>0</v>
      </c>
      <c r="L57" s="1">
        <v>226.86</v>
      </c>
      <c r="M57" s="15" t="str">
        <f t="shared" si="1"/>
        <v>Neutral</v>
      </c>
      <c r="N57" s="7" t="s">
        <v>31</v>
      </c>
    </row>
    <row r="58" spans="1:14" ht="27" customHeight="1" x14ac:dyDescent="0.45">
      <c r="A58" s="5" t="s">
        <v>229</v>
      </c>
      <c r="B58" s="2">
        <v>42132</v>
      </c>
      <c r="C58" s="2">
        <v>42163</v>
      </c>
      <c r="D58" s="1" t="s">
        <v>230</v>
      </c>
      <c r="E58" s="1" t="s">
        <v>17</v>
      </c>
      <c r="F58" s="1" t="s">
        <v>18</v>
      </c>
      <c r="G58" s="1" t="s">
        <v>51</v>
      </c>
      <c r="H58" s="1" t="s">
        <v>38</v>
      </c>
      <c r="I58" s="1">
        <v>4191.5069999999996</v>
      </c>
      <c r="J58" s="1">
        <v>9</v>
      </c>
      <c r="K58" s="1">
        <v>0.1</v>
      </c>
      <c r="L58" s="1">
        <v>1164.2670000000001</v>
      </c>
      <c r="M58" s="15" t="str">
        <f t="shared" si="1"/>
        <v>Profit</v>
      </c>
      <c r="N58" s="7" t="s">
        <v>42</v>
      </c>
    </row>
    <row r="59" spans="1:14" ht="27" customHeight="1" x14ac:dyDescent="0.45">
      <c r="A59" s="5" t="s">
        <v>158</v>
      </c>
      <c r="B59" s="2">
        <v>41248</v>
      </c>
      <c r="C59" s="1" t="s">
        <v>231</v>
      </c>
      <c r="D59" s="1" t="s">
        <v>129</v>
      </c>
      <c r="E59" s="1" t="s">
        <v>46</v>
      </c>
      <c r="F59" s="1" t="s">
        <v>49</v>
      </c>
      <c r="G59" s="1" t="s">
        <v>209</v>
      </c>
      <c r="H59" s="1" t="s">
        <v>50</v>
      </c>
      <c r="I59" s="1">
        <v>8</v>
      </c>
      <c r="J59" s="1">
        <v>2</v>
      </c>
      <c r="K59" s="1"/>
      <c r="L59" s="1">
        <v>3.84</v>
      </c>
      <c r="M59" s="15" t="str">
        <f t="shared" si="1"/>
        <v>Neutral</v>
      </c>
      <c r="N59" s="7" t="s">
        <v>21</v>
      </c>
    </row>
    <row r="60" spans="1:14" ht="27" customHeight="1" x14ac:dyDescent="0.45">
      <c r="A60" s="5" t="s">
        <v>232</v>
      </c>
      <c r="B60" s="2">
        <v>42311</v>
      </c>
      <c r="C60" s="1"/>
      <c r="D60" s="1" t="s">
        <v>233</v>
      </c>
      <c r="E60" s="1" t="s">
        <v>234</v>
      </c>
      <c r="F60" s="1" t="s">
        <v>58</v>
      </c>
      <c r="G60" s="1" t="s">
        <v>235</v>
      </c>
      <c r="H60" s="1" t="s">
        <v>84</v>
      </c>
      <c r="I60" s="1">
        <v>3063.27</v>
      </c>
      <c r="J60" s="1">
        <v>7</v>
      </c>
      <c r="K60" s="1">
        <v>0</v>
      </c>
      <c r="L60" s="1">
        <v>581.91</v>
      </c>
      <c r="M60" s="15" t="str">
        <f t="shared" si="1"/>
        <v>Profit</v>
      </c>
      <c r="N60" s="7" t="s">
        <v>42</v>
      </c>
    </row>
    <row r="61" spans="1:14" ht="27" customHeight="1" x14ac:dyDescent="0.45">
      <c r="A61" s="5" t="s">
        <v>236</v>
      </c>
      <c r="B61" s="1" t="s">
        <v>237</v>
      </c>
      <c r="C61" s="1" t="s">
        <v>238</v>
      </c>
      <c r="D61" s="1" t="s">
        <v>129</v>
      </c>
      <c r="E61" s="1" t="s">
        <v>46</v>
      </c>
      <c r="F61" s="1" t="s">
        <v>130</v>
      </c>
      <c r="G61" s="1" t="s">
        <v>51</v>
      </c>
      <c r="H61" s="1" t="s">
        <v>30</v>
      </c>
      <c r="I61" s="1">
        <v>18.704000000000001</v>
      </c>
      <c r="J61" s="1">
        <v>7</v>
      </c>
      <c r="K61" s="1">
        <v>0.2</v>
      </c>
      <c r="L61" s="1">
        <v>2.3380000000000001</v>
      </c>
      <c r="M61" s="15" t="str">
        <f t="shared" si="1"/>
        <v>Neutral</v>
      </c>
      <c r="N61" s="7" t="s">
        <v>21</v>
      </c>
    </row>
    <row r="62" spans="1:14" ht="27" customHeight="1" x14ac:dyDescent="0.45">
      <c r="A62" s="5" t="s">
        <v>239</v>
      </c>
      <c r="B62" s="2">
        <v>42316</v>
      </c>
      <c r="C62" s="1" t="s">
        <v>240</v>
      </c>
      <c r="D62" s="1" t="s">
        <v>241</v>
      </c>
      <c r="E62" s="1" t="s">
        <v>26</v>
      </c>
      <c r="F62" s="1" t="s">
        <v>80</v>
      </c>
      <c r="G62" s="1" t="s">
        <v>19</v>
      </c>
      <c r="H62" s="1" t="s">
        <v>188</v>
      </c>
      <c r="I62" s="1">
        <v>4473</v>
      </c>
      <c r="J62" s="1">
        <v>7</v>
      </c>
      <c r="K62" s="1">
        <v>0</v>
      </c>
      <c r="L62" s="1">
        <v>313.11</v>
      </c>
      <c r="M62" s="15" t="str">
        <f t="shared" si="1"/>
        <v>Neutral</v>
      </c>
      <c r="N62" s="7" t="s">
        <v>21</v>
      </c>
    </row>
    <row r="63" spans="1:14" ht="27" customHeight="1" x14ac:dyDescent="0.45">
      <c r="A63" s="5" t="s">
        <v>242</v>
      </c>
      <c r="B63" s="1" t="s">
        <v>243</v>
      </c>
      <c r="C63" s="2">
        <v>41707</v>
      </c>
      <c r="D63" s="1" t="s">
        <v>244</v>
      </c>
      <c r="E63" s="1" t="s">
        <v>26</v>
      </c>
      <c r="F63" s="1" t="s">
        <v>80</v>
      </c>
      <c r="G63" s="1" t="s">
        <v>19</v>
      </c>
      <c r="H63" s="1" t="s">
        <v>150</v>
      </c>
      <c r="I63" s="1">
        <v>1502.01</v>
      </c>
      <c r="J63" s="1">
        <v>9</v>
      </c>
      <c r="K63" s="1">
        <v>0</v>
      </c>
      <c r="L63" s="1">
        <v>225.18</v>
      </c>
      <c r="M63" s="15" t="str">
        <f t="shared" si="1"/>
        <v>Neutral</v>
      </c>
      <c r="N63" s="7" t="s">
        <v>31</v>
      </c>
    </row>
    <row r="64" spans="1:14" ht="27" customHeight="1" x14ac:dyDescent="0.45">
      <c r="A64" s="5" t="s">
        <v>245</v>
      </c>
      <c r="B64" s="1" t="s">
        <v>164</v>
      </c>
      <c r="C64" s="1" t="s">
        <v>246</v>
      </c>
      <c r="D64" s="1" t="s">
        <v>247</v>
      </c>
      <c r="E64" s="1" t="s">
        <v>74</v>
      </c>
      <c r="F64" s="1" t="s">
        <v>103</v>
      </c>
      <c r="G64" s="1" t="s">
        <v>37</v>
      </c>
      <c r="H64" s="1" t="s">
        <v>30</v>
      </c>
      <c r="I64" s="1">
        <v>5049</v>
      </c>
      <c r="J64" s="1">
        <v>11</v>
      </c>
      <c r="K64" s="1">
        <v>0</v>
      </c>
      <c r="L64" s="1">
        <v>3799.5593480000002</v>
      </c>
      <c r="M64" s="15" t="str">
        <f t="shared" si="1"/>
        <v>Profit</v>
      </c>
      <c r="N64" s="7" t="s">
        <v>42</v>
      </c>
    </row>
    <row r="65" spans="1:14" ht="27" customHeight="1" x14ac:dyDescent="0.45">
      <c r="A65" s="5" t="s">
        <v>248</v>
      </c>
      <c r="B65" s="2">
        <v>42064</v>
      </c>
      <c r="C65" s="1"/>
      <c r="D65" s="1" t="s">
        <v>249</v>
      </c>
      <c r="E65" s="1" t="s">
        <v>46</v>
      </c>
      <c r="F65" s="1" t="s">
        <v>192</v>
      </c>
      <c r="G65" s="1" t="s">
        <v>19</v>
      </c>
      <c r="H65" s="1" t="s">
        <v>30</v>
      </c>
      <c r="I65" s="1">
        <v>695.7</v>
      </c>
      <c r="J65" s="1"/>
      <c r="K65" s="1"/>
      <c r="L65" s="1">
        <v>-27.827999999999999</v>
      </c>
      <c r="M65" s="15" t="str">
        <f t="shared" si="1"/>
        <v>Loss</v>
      </c>
      <c r="N65" s="7" t="s">
        <v>42</v>
      </c>
    </row>
    <row r="66" spans="1:14" ht="27" customHeight="1" x14ac:dyDescent="0.45">
      <c r="A66" s="5" t="s">
        <v>250</v>
      </c>
      <c r="B66" s="2">
        <v>42197</v>
      </c>
      <c r="C66" s="2">
        <v>42346</v>
      </c>
      <c r="D66" s="1" t="s">
        <v>251</v>
      </c>
      <c r="E66" s="1" t="s">
        <v>252</v>
      </c>
      <c r="F66" s="1" t="s">
        <v>89</v>
      </c>
      <c r="G66" s="1" t="s">
        <v>37</v>
      </c>
      <c r="H66" s="1" t="s">
        <v>27</v>
      </c>
      <c r="I66" s="1">
        <v>2188.0500000000002</v>
      </c>
      <c r="J66" s="1">
        <v>5</v>
      </c>
      <c r="K66" s="1">
        <v>0</v>
      </c>
      <c r="L66" s="1">
        <v>1050.1500000000001</v>
      </c>
      <c r="M66" s="15" t="str">
        <f t="shared" ref="M66:M97" si="2">IF(L66&gt;500,"Profit",IF(L66&lt;0,"Loss","Neutral"))</f>
        <v>Profit</v>
      </c>
      <c r="N66" s="7" t="s">
        <v>42</v>
      </c>
    </row>
    <row r="67" spans="1:14" ht="27" customHeight="1" x14ac:dyDescent="0.45">
      <c r="A67" s="6" t="s">
        <v>253</v>
      </c>
      <c r="B67" s="1"/>
      <c r="C67" s="1" t="s">
        <v>237</v>
      </c>
      <c r="D67" s="1" t="s">
        <v>254</v>
      </c>
      <c r="E67" s="1" t="s">
        <v>134</v>
      </c>
      <c r="F67" s="1" t="s">
        <v>58</v>
      </c>
      <c r="G67" s="1" t="s">
        <v>37</v>
      </c>
      <c r="H67" s="1" t="s">
        <v>84</v>
      </c>
      <c r="I67" s="1">
        <v>1920.36</v>
      </c>
      <c r="J67" s="1">
        <v>4</v>
      </c>
      <c r="K67" s="1">
        <v>0</v>
      </c>
      <c r="L67" s="1">
        <v>652.91999999999996</v>
      </c>
      <c r="M67" s="15" t="str">
        <f t="shared" si="2"/>
        <v>Profit</v>
      </c>
      <c r="N67" s="7" t="s">
        <v>31</v>
      </c>
    </row>
    <row r="68" spans="1:14" ht="27" customHeight="1" x14ac:dyDescent="0.45">
      <c r="A68" s="5" t="s">
        <v>255</v>
      </c>
      <c r="B68" s="1" t="s">
        <v>256</v>
      </c>
      <c r="C68" s="1" t="s">
        <v>256</v>
      </c>
      <c r="D68" s="1" t="s">
        <v>257</v>
      </c>
      <c r="E68" s="1" t="s">
        <v>111</v>
      </c>
      <c r="F68" s="1" t="s">
        <v>112</v>
      </c>
      <c r="G68" s="1" t="s">
        <v>19</v>
      </c>
      <c r="H68" s="1" t="s">
        <v>188</v>
      </c>
      <c r="I68" s="1">
        <v>1704</v>
      </c>
      <c r="J68" s="1">
        <v>4</v>
      </c>
      <c r="K68" s="1">
        <v>0</v>
      </c>
      <c r="L68" s="1">
        <v>119.28</v>
      </c>
      <c r="M68" s="15" t="str">
        <f t="shared" si="2"/>
        <v>Neutral</v>
      </c>
      <c r="N68" s="7" t="s">
        <v>31</v>
      </c>
    </row>
    <row r="69" spans="1:14" ht="27" customHeight="1" x14ac:dyDescent="0.45">
      <c r="A69" s="5" t="s">
        <v>258</v>
      </c>
      <c r="B69" s="2">
        <v>41132</v>
      </c>
      <c r="C69" s="2">
        <v>41193</v>
      </c>
      <c r="D69" s="1" t="s">
        <v>259</v>
      </c>
      <c r="E69" s="1" t="s">
        <v>260</v>
      </c>
      <c r="F69" s="1" t="s">
        <v>261</v>
      </c>
      <c r="G69" s="1" t="s">
        <v>37</v>
      </c>
      <c r="H69" s="1" t="s">
        <v>50</v>
      </c>
      <c r="I69" s="1">
        <v>1858.68</v>
      </c>
      <c r="J69" s="1">
        <v>4</v>
      </c>
      <c r="K69" s="1">
        <v>0</v>
      </c>
      <c r="L69" s="1"/>
      <c r="M69" s="15" t="str">
        <f t="shared" si="2"/>
        <v>Neutral</v>
      </c>
      <c r="N69" s="7" t="s">
        <v>31</v>
      </c>
    </row>
    <row r="70" spans="1:14" ht="27" customHeight="1" x14ac:dyDescent="0.45">
      <c r="A70" s="5" t="s">
        <v>262</v>
      </c>
      <c r="B70" s="2">
        <v>41797</v>
      </c>
      <c r="C70" s="2">
        <v>41888</v>
      </c>
      <c r="D70" s="1" t="s">
        <v>263</v>
      </c>
      <c r="E70" s="1" t="s">
        <v>264</v>
      </c>
      <c r="F70" s="1" t="s">
        <v>103</v>
      </c>
      <c r="G70" s="1" t="s">
        <v>37</v>
      </c>
      <c r="H70" s="1" t="s">
        <v>30</v>
      </c>
      <c r="I70" s="1">
        <v>3298.26</v>
      </c>
      <c r="J70" s="1">
        <v>7</v>
      </c>
      <c r="K70" s="1">
        <v>0</v>
      </c>
      <c r="L70" s="1">
        <v>1055.25</v>
      </c>
      <c r="M70" s="15" t="str">
        <f t="shared" si="2"/>
        <v>Profit</v>
      </c>
      <c r="N70" s="7" t="s">
        <v>42</v>
      </c>
    </row>
    <row r="71" spans="1:14" ht="27" customHeight="1" x14ac:dyDescent="0.45">
      <c r="A71" s="5" t="s">
        <v>265</v>
      </c>
      <c r="B71" s="1" t="s">
        <v>266</v>
      </c>
      <c r="C71" s="1" t="s">
        <v>267</v>
      </c>
      <c r="D71" s="1" t="s">
        <v>268</v>
      </c>
      <c r="E71" s="1" t="s">
        <v>269</v>
      </c>
      <c r="F71" s="1" t="s">
        <v>112</v>
      </c>
      <c r="G71" s="1" t="s">
        <v>51</v>
      </c>
      <c r="H71" s="1" t="s">
        <v>50</v>
      </c>
      <c r="I71" s="1">
        <v>2443.48</v>
      </c>
      <c r="J71" s="1">
        <v>13</v>
      </c>
      <c r="K71" s="1">
        <v>0</v>
      </c>
      <c r="L71" s="1" t="s">
        <v>270</v>
      </c>
      <c r="M71" s="15" t="str">
        <f t="shared" si="2"/>
        <v>Profit</v>
      </c>
      <c r="N71" s="7" t="s">
        <v>21</v>
      </c>
    </row>
    <row r="72" spans="1:14" ht="27" customHeight="1" x14ac:dyDescent="0.45">
      <c r="A72" s="5" t="s">
        <v>271</v>
      </c>
      <c r="B72" s="1" t="s">
        <v>272</v>
      </c>
      <c r="C72" s="1" t="s">
        <v>273</v>
      </c>
      <c r="D72" s="1" t="s">
        <v>274</v>
      </c>
      <c r="E72" s="1" t="s">
        <v>155</v>
      </c>
      <c r="F72" s="1" t="s">
        <v>156</v>
      </c>
      <c r="G72" s="1" t="s">
        <v>37</v>
      </c>
      <c r="H72" s="1" t="s">
        <v>27</v>
      </c>
      <c r="I72" s="1"/>
      <c r="J72" s="1">
        <v>8</v>
      </c>
      <c r="K72" s="1">
        <v>0</v>
      </c>
      <c r="L72" s="1">
        <v>1523.52</v>
      </c>
      <c r="M72" s="15" t="str">
        <f t="shared" si="2"/>
        <v>Profit</v>
      </c>
      <c r="N72" s="7" t="s">
        <v>42</v>
      </c>
    </row>
    <row r="73" spans="1:14" ht="27" customHeight="1" x14ac:dyDescent="0.45">
      <c r="A73" s="5" t="s">
        <v>275</v>
      </c>
      <c r="B73" s="1" t="s">
        <v>276</v>
      </c>
      <c r="C73" s="1" t="s">
        <v>277</v>
      </c>
      <c r="D73" s="1" t="s">
        <v>278</v>
      </c>
      <c r="E73" s="1" t="s">
        <v>171</v>
      </c>
      <c r="F73" s="1" t="s">
        <v>172</v>
      </c>
      <c r="G73" s="1" t="s">
        <v>37</v>
      </c>
      <c r="H73" s="1" t="s">
        <v>84</v>
      </c>
      <c r="I73" s="1">
        <v>3427.1496000000002</v>
      </c>
      <c r="J73" s="1">
        <v>7</v>
      </c>
      <c r="K73" s="1"/>
      <c r="L73" s="1">
        <v>-452.81040000000002</v>
      </c>
      <c r="M73" s="15" t="str">
        <f t="shared" si="2"/>
        <v>Loss</v>
      </c>
      <c r="N73" s="7" t="s">
        <v>42</v>
      </c>
    </row>
    <row r="74" spans="1:14" ht="27" customHeight="1" x14ac:dyDescent="0.45">
      <c r="A74" s="5" t="s">
        <v>279</v>
      </c>
      <c r="B74" s="1" t="s">
        <v>280</v>
      </c>
      <c r="C74" s="1" t="s">
        <v>281</v>
      </c>
      <c r="D74" s="1" t="s">
        <v>282</v>
      </c>
      <c r="E74" s="3" t="s">
        <v>107</v>
      </c>
      <c r="F74" s="1"/>
      <c r="G74" s="1" t="s">
        <v>19</v>
      </c>
      <c r="H74" s="1" t="s">
        <v>27</v>
      </c>
      <c r="I74" s="1">
        <v>3441.69</v>
      </c>
      <c r="J74" s="1"/>
      <c r="K74" s="1">
        <v>0.1</v>
      </c>
      <c r="L74" s="1">
        <v>38.07</v>
      </c>
      <c r="M74" s="15" t="str">
        <f t="shared" si="2"/>
        <v>Neutral</v>
      </c>
      <c r="N74" s="7" t="s">
        <v>42</v>
      </c>
    </row>
    <row r="75" spans="1:14" ht="27" customHeight="1" x14ac:dyDescent="0.45">
      <c r="A75" s="5" t="s">
        <v>283</v>
      </c>
      <c r="B75" s="1" t="s">
        <v>284</v>
      </c>
      <c r="C75" s="1" t="s">
        <v>285</v>
      </c>
      <c r="D75" s="1" t="s">
        <v>203</v>
      </c>
      <c r="E75" s="1" t="s">
        <v>17</v>
      </c>
      <c r="F75" s="1" t="s">
        <v>18</v>
      </c>
      <c r="G75" s="1" t="s">
        <v>19</v>
      </c>
      <c r="H75" s="1" t="s">
        <v>50</v>
      </c>
      <c r="I75" s="1">
        <v>2863.35</v>
      </c>
      <c r="J75" s="1">
        <v>5</v>
      </c>
      <c r="K75" s="1">
        <v>0.1</v>
      </c>
      <c r="L75" s="1">
        <v>858.9</v>
      </c>
      <c r="M75" s="15" t="str">
        <f t="shared" si="2"/>
        <v>Profit</v>
      </c>
      <c r="N75" s="7" t="s">
        <v>286</v>
      </c>
    </row>
    <row r="76" spans="1:14" ht="27" customHeight="1" x14ac:dyDescent="0.45">
      <c r="A76" s="5"/>
      <c r="B76" s="2">
        <v>42043</v>
      </c>
      <c r="C76" s="2">
        <v>42224</v>
      </c>
      <c r="D76" s="1" t="s">
        <v>249</v>
      </c>
      <c r="E76" s="1" t="s">
        <v>46</v>
      </c>
      <c r="F76" s="1" t="s">
        <v>47</v>
      </c>
      <c r="G76" s="1" t="s">
        <v>19</v>
      </c>
      <c r="H76" s="1" t="s">
        <v>30</v>
      </c>
      <c r="I76" s="1"/>
      <c r="J76" s="1">
        <v>3</v>
      </c>
      <c r="K76" s="1">
        <v>0.4</v>
      </c>
      <c r="L76" s="1">
        <v>-263.99669999999998</v>
      </c>
      <c r="M76" s="15" t="str">
        <f t="shared" si="2"/>
        <v>Loss</v>
      </c>
      <c r="N76" s="7" t="s">
        <v>21</v>
      </c>
    </row>
    <row r="77" spans="1:14" ht="27" customHeight="1" x14ac:dyDescent="0.45">
      <c r="A77" s="5" t="s">
        <v>287</v>
      </c>
      <c r="B77" s="1" t="s">
        <v>288</v>
      </c>
      <c r="C77" s="1" t="s">
        <v>289</v>
      </c>
      <c r="D77" s="3" t="s">
        <v>290</v>
      </c>
      <c r="E77" s="1"/>
      <c r="F77" s="1" t="s">
        <v>80</v>
      </c>
      <c r="G77" s="1" t="s">
        <v>291</v>
      </c>
      <c r="H77" s="1" t="s">
        <v>30</v>
      </c>
      <c r="I77" s="1">
        <v>1487.4</v>
      </c>
      <c r="J77" s="1">
        <v>10</v>
      </c>
      <c r="K77" s="1">
        <v>0</v>
      </c>
      <c r="L77" s="1">
        <v>728.7</v>
      </c>
      <c r="M77" s="15" t="str">
        <f t="shared" si="2"/>
        <v>Profit</v>
      </c>
      <c r="N77" s="7" t="s">
        <v>31</v>
      </c>
    </row>
    <row r="78" spans="1:14" ht="27" customHeight="1" x14ac:dyDescent="0.45">
      <c r="A78" s="5" t="s">
        <v>292</v>
      </c>
      <c r="B78" s="2">
        <v>41132</v>
      </c>
      <c r="C78" s="2">
        <v>41193</v>
      </c>
      <c r="D78" s="1" t="s">
        <v>293</v>
      </c>
      <c r="E78" s="1" t="s">
        <v>74</v>
      </c>
      <c r="F78" s="1" t="s">
        <v>103</v>
      </c>
      <c r="G78" s="1" t="s">
        <v>19</v>
      </c>
      <c r="H78" s="1" t="s">
        <v>52</v>
      </c>
      <c r="I78" s="1">
        <v>3200.04</v>
      </c>
      <c r="J78" s="1">
        <v>9</v>
      </c>
      <c r="K78" s="1" t="s">
        <v>294</v>
      </c>
      <c r="L78" s="1">
        <v>1183.95</v>
      </c>
      <c r="M78" s="15" t="str">
        <f t="shared" si="2"/>
        <v>Profit</v>
      </c>
      <c r="N78" s="7" t="s">
        <v>295</v>
      </c>
    </row>
    <row r="79" spans="1:14" ht="27" customHeight="1" x14ac:dyDescent="0.45">
      <c r="A79" s="5" t="s">
        <v>296</v>
      </c>
      <c r="B79" s="1" t="s">
        <v>208</v>
      </c>
      <c r="C79" s="1" t="s">
        <v>208</v>
      </c>
      <c r="D79" s="1" t="s">
        <v>297</v>
      </c>
      <c r="E79" s="1" t="s">
        <v>134</v>
      </c>
      <c r="F79" s="3" t="s">
        <v>58</v>
      </c>
      <c r="G79" s="1"/>
      <c r="H79" s="1" t="s">
        <v>38</v>
      </c>
      <c r="I79" s="1">
        <v>2301</v>
      </c>
      <c r="J79" s="1">
        <v>5</v>
      </c>
      <c r="K79" s="1">
        <v>0</v>
      </c>
      <c r="L79" s="1">
        <v>91.95</v>
      </c>
      <c r="M79" s="15" t="str">
        <f t="shared" si="2"/>
        <v>Neutral</v>
      </c>
      <c r="N79" s="7" t="s">
        <v>31</v>
      </c>
    </row>
    <row r="80" spans="1:14" ht="27" customHeight="1" x14ac:dyDescent="0.45">
      <c r="A80" s="5"/>
      <c r="B80" s="1" t="s">
        <v>298</v>
      </c>
      <c r="C80" s="1" t="s">
        <v>299</v>
      </c>
      <c r="D80" s="1" t="s">
        <v>300</v>
      </c>
      <c r="E80" s="1" t="s">
        <v>79</v>
      </c>
      <c r="F80" s="1" t="s">
        <v>80</v>
      </c>
      <c r="G80" s="1" t="s">
        <v>37</v>
      </c>
      <c r="H80" s="1" t="s">
        <v>38</v>
      </c>
      <c r="I80" s="1">
        <v>5729.3459999999995</v>
      </c>
      <c r="J80" s="1">
        <v>14</v>
      </c>
      <c r="K80" s="1">
        <v>0.1</v>
      </c>
      <c r="L80" s="1">
        <v>63.545999999999999</v>
      </c>
      <c r="M80" s="15" t="str">
        <f t="shared" si="2"/>
        <v>Neutral</v>
      </c>
      <c r="N80" s="7" t="s">
        <v>42</v>
      </c>
    </row>
    <row r="81" spans="1:14" ht="27" customHeight="1" x14ac:dyDescent="0.45">
      <c r="A81" s="5" t="s">
        <v>301</v>
      </c>
      <c r="B81" s="1" t="s">
        <v>302</v>
      </c>
      <c r="C81" s="1" t="s">
        <v>303</v>
      </c>
      <c r="D81" s="1" t="s">
        <v>149</v>
      </c>
      <c r="E81" s="1" t="s">
        <v>304</v>
      </c>
      <c r="F81" s="1" t="s">
        <v>305</v>
      </c>
      <c r="G81" s="1" t="s">
        <v>19</v>
      </c>
      <c r="H81" s="1" t="s">
        <v>27</v>
      </c>
      <c r="I81" s="1">
        <v>5301.24</v>
      </c>
      <c r="J81" s="1">
        <v>14</v>
      </c>
      <c r="K81" s="1">
        <v>0</v>
      </c>
      <c r="L81" s="1">
        <v>2597.2800000000002</v>
      </c>
      <c r="M81" s="15" t="str">
        <f t="shared" si="2"/>
        <v>Profit</v>
      </c>
      <c r="N81" s="7" t="s">
        <v>21</v>
      </c>
    </row>
    <row r="82" spans="1:14" ht="27" customHeight="1" x14ac:dyDescent="0.45">
      <c r="A82" s="5"/>
      <c r="B82" s="1" t="s">
        <v>306</v>
      </c>
      <c r="C82" s="1" t="s">
        <v>307</v>
      </c>
      <c r="D82" s="1" t="s">
        <v>249</v>
      </c>
      <c r="E82" s="1" t="s">
        <v>46</v>
      </c>
      <c r="F82" s="1" t="s">
        <v>49</v>
      </c>
      <c r="G82" s="1" t="s">
        <v>37</v>
      </c>
      <c r="H82" s="1" t="s">
        <v>27</v>
      </c>
      <c r="I82" s="1">
        <v>477.666</v>
      </c>
      <c r="J82" s="1">
        <v>2</v>
      </c>
      <c r="K82" s="1">
        <v>0.15</v>
      </c>
      <c r="L82" s="1">
        <v>84.293999999999997</v>
      </c>
      <c r="M82" s="15" t="str">
        <f t="shared" si="2"/>
        <v>Neutral</v>
      </c>
      <c r="N82" s="7" t="s">
        <v>31</v>
      </c>
    </row>
    <row r="83" spans="1:14" ht="27" customHeight="1" x14ac:dyDescent="0.45">
      <c r="A83" s="5" t="s">
        <v>308</v>
      </c>
      <c r="B83" s="2">
        <v>42133</v>
      </c>
      <c r="C83" s="2">
        <v>42164</v>
      </c>
      <c r="D83" s="1" t="s">
        <v>249</v>
      </c>
      <c r="E83" s="1" t="s">
        <v>46</v>
      </c>
      <c r="F83" s="1" t="s">
        <v>49</v>
      </c>
      <c r="G83" s="1" t="s">
        <v>51</v>
      </c>
      <c r="H83" s="1" t="s">
        <v>38</v>
      </c>
      <c r="I83" s="1">
        <v>88.073999999999998</v>
      </c>
      <c r="J83" s="1">
        <v>7</v>
      </c>
      <c r="K83" s="1">
        <v>0.7</v>
      </c>
      <c r="L83" s="1">
        <v>-58.716000000000001</v>
      </c>
      <c r="M83" s="15" t="str">
        <f t="shared" si="2"/>
        <v>Loss</v>
      </c>
      <c r="N83" s="7" t="s">
        <v>42</v>
      </c>
    </row>
    <row r="84" spans="1:14" ht="27" customHeight="1" x14ac:dyDescent="0.45">
      <c r="A84" s="5"/>
      <c r="B84" s="1" t="s">
        <v>309</v>
      </c>
      <c r="C84" s="2">
        <v>41761</v>
      </c>
      <c r="D84" s="1" t="s">
        <v>170</v>
      </c>
      <c r="E84" s="1" t="s">
        <v>26</v>
      </c>
      <c r="F84" s="1" t="s">
        <v>80</v>
      </c>
      <c r="G84" s="1" t="s">
        <v>19</v>
      </c>
      <c r="H84" s="1" t="s">
        <v>52</v>
      </c>
      <c r="I84" s="1">
        <v>3219.9</v>
      </c>
      <c r="J84" s="1">
        <v>5</v>
      </c>
      <c r="K84" s="1"/>
      <c r="L84" s="1">
        <v>965.85</v>
      </c>
      <c r="M84" s="15" t="str">
        <f t="shared" si="2"/>
        <v>Profit</v>
      </c>
      <c r="N84" s="7" t="s">
        <v>85</v>
      </c>
    </row>
    <row r="85" spans="1:14" ht="27" customHeight="1" x14ac:dyDescent="0.45">
      <c r="A85" s="5" t="s">
        <v>310</v>
      </c>
      <c r="B85" s="1" t="s">
        <v>311</v>
      </c>
      <c r="C85" s="1" t="s">
        <v>312</v>
      </c>
      <c r="D85" s="1" t="s">
        <v>313</v>
      </c>
      <c r="E85" s="1" t="s">
        <v>171</v>
      </c>
      <c r="F85" s="1" t="s">
        <v>172</v>
      </c>
      <c r="G85" s="1" t="s">
        <v>51</v>
      </c>
      <c r="H85" s="1" t="s">
        <v>27</v>
      </c>
      <c r="I85" s="1">
        <v>2487.8087999999998</v>
      </c>
      <c r="J85" s="1"/>
      <c r="K85" s="1">
        <v>0.17</v>
      </c>
      <c r="L85" s="1">
        <v>-269.7912</v>
      </c>
      <c r="M85" s="15" t="str">
        <f t="shared" si="2"/>
        <v>Loss</v>
      </c>
      <c r="N85" s="7" t="s">
        <v>31</v>
      </c>
    </row>
    <row r="86" spans="1:14" ht="27" customHeight="1" x14ac:dyDescent="0.45">
      <c r="A86" s="5" t="s">
        <v>314</v>
      </c>
      <c r="B86" s="1" t="s">
        <v>315</v>
      </c>
      <c r="C86" s="1" t="s">
        <v>315</v>
      </c>
      <c r="D86" s="1" t="s">
        <v>316</v>
      </c>
      <c r="E86" s="1" t="s">
        <v>304</v>
      </c>
      <c r="F86" s="1" t="s">
        <v>305</v>
      </c>
      <c r="G86" s="1" t="s">
        <v>51</v>
      </c>
      <c r="H86" s="1" t="s">
        <v>30</v>
      </c>
      <c r="I86" s="1">
        <v>2266.44</v>
      </c>
      <c r="J86" s="1">
        <v>4</v>
      </c>
      <c r="K86" s="1">
        <v>0</v>
      </c>
      <c r="L86" s="1">
        <v>113.28</v>
      </c>
      <c r="M86" s="15" t="str">
        <f t="shared" si="2"/>
        <v>Neutral</v>
      </c>
      <c r="N86" s="7" t="s">
        <v>21</v>
      </c>
    </row>
    <row r="87" spans="1:14" ht="27" customHeight="1" x14ac:dyDescent="0.45">
      <c r="A87" s="5"/>
      <c r="B87" s="1" t="s">
        <v>317</v>
      </c>
      <c r="C87" s="1" t="s">
        <v>317</v>
      </c>
      <c r="D87" s="1" t="s">
        <v>318</v>
      </c>
      <c r="E87" s="1" t="s">
        <v>17</v>
      </c>
      <c r="F87" s="1" t="s">
        <v>18</v>
      </c>
      <c r="G87" s="1" t="s">
        <v>19</v>
      </c>
      <c r="H87" s="1" t="s">
        <v>84</v>
      </c>
      <c r="I87" s="1">
        <v>3068.3609999999999</v>
      </c>
      <c r="J87" s="1"/>
      <c r="K87" s="1">
        <v>0.1</v>
      </c>
      <c r="L87" s="1">
        <v>1124.9010000000001</v>
      </c>
      <c r="M87" s="15" t="str">
        <f t="shared" si="2"/>
        <v>Profit</v>
      </c>
      <c r="N87" s="7" t="s">
        <v>42</v>
      </c>
    </row>
    <row r="88" spans="1:14" ht="27" customHeight="1" x14ac:dyDescent="0.45">
      <c r="A88" s="5" t="s">
        <v>319</v>
      </c>
      <c r="B88" s="1" t="s">
        <v>320</v>
      </c>
      <c r="C88" s="1" t="s">
        <v>321</v>
      </c>
      <c r="D88" s="1" t="s">
        <v>322</v>
      </c>
      <c r="E88" s="1" t="s">
        <v>234</v>
      </c>
      <c r="F88" s="1" t="s">
        <v>58</v>
      </c>
      <c r="G88" s="1" t="s">
        <v>37</v>
      </c>
      <c r="H88" s="1" t="s">
        <v>84</v>
      </c>
      <c r="I88" s="1">
        <v>3728.43</v>
      </c>
      <c r="J88" s="1">
        <v>9</v>
      </c>
      <c r="K88" s="1">
        <v>0</v>
      </c>
      <c r="L88" s="1">
        <v>1192.8599999999999</v>
      </c>
      <c r="M88" s="15" t="str">
        <f t="shared" si="2"/>
        <v>Profit</v>
      </c>
      <c r="N88" s="7" t="s">
        <v>21</v>
      </c>
    </row>
    <row r="89" spans="1:14" ht="27" customHeight="1" x14ac:dyDescent="0.45">
      <c r="A89" s="5"/>
      <c r="B89" s="2">
        <v>41985</v>
      </c>
      <c r="C89" s="1" t="s">
        <v>323</v>
      </c>
      <c r="D89" s="1"/>
      <c r="E89" s="1" t="s">
        <v>74</v>
      </c>
      <c r="F89" s="1" t="s">
        <v>103</v>
      </c>
      <c r="G89" s="1" t="s">
        <v>19</v>
      </c>
      <c r="H89" s="1" t="s">
        <v>38</v>
      </c>
      <c r="I89" s="1">
        <v>1581.48</v>
      </c>
      <c r="J89" s="1"/>
      <c r="K89" s="1">
        <v>0</v>
      </c>
      <c r="L89" s="1">
        <v>0</v>
      </c>
      <c r="M89" s="15" t="str">
        <f t="shared" si="2"/>
        <v>Neutral</v>
      </c>
      <c r="N89" s="7" t="s">
        <v>42</v>
      </c>
    </row>
    <row r="90" spans="1:14" ht="27" customHeight="1" x14ac:dyDescent="0.45">
      <c r="A90" s="5" t="s">
        <v>324</v>
      </c>
      <c r="B90" s="1" t="s">
        <v>226</v>
      </c>
      <c r="C90" s="1" t="s">
        <v>227</v>
      </c>
      <c r="D90" s="1" t="s">
        <v>228</v>
      </c>
      <c r="E90" s="1" t="s">
        <v>134</v>
      </c>
      <c r="F90" s="1" t="s">
        <v>58</v>
      </c>
      <c r="G90" s="1" t="s">
        <v>19</v>
      </c>
      <c r="H90" s="1" t="s">
        <v>188</v>
      </c>
      <c r="I90" s="1">
        <v>1916.73</v>
      </c>
      <c r="J90" s="1">
        <v>3</v>
      </c>
      <c r="K90" s="1">
        <v>0</v>
      </c>
      <c r="L90" s="1">
        <v>498.33</v>
      </c>
      <c r="M90" s="15" t="str">
        <f t="shared" si="2"/>
        <v>Neutral</v>
      </c>
      <c r="N90" s="7" t="s">
        <v>31</v>
      </c>
    </row>
    <row r="91" spans="1:14" ht="27" customHeight="1" x14ac:dyDescent="0.45">
      <c r="A91" s="5" t="s">
        <v>325</v>
      </c>
      <c r="B91" s="2">
        <v>42104</v>
      </c>
      <c r="C91" s="2">
        <v>42257</v>
      </c>
      <c r="D91" s="1" t="s">
        <v>249</v>
      </c>
      <c r="E91" s="1" t="s">
        <v>46</v>
      </c>
      <c r="F91" s="1" t="s">
        <v>326</v>
      </c>
      <c r="G91" s="1" t="s">
        <v>37</v>
      </c>
      <c r="H91" s="1" t="s">
        <v>38</v>
      </c>
      <c r="I91" s="1">
        <v>171.28800000000001</v>
      </c>
      <c r="J91" s="1">
        <v>3</v>
      </c>
      <c r="K91" s="1">
        <v>1.433999491</v>
      </c>
      <c r="L91" s="1">
        <v>-6.4233000000000002</v>
      </c>
      <c r="M91" s="15" t="str">
        <f t="shared" si="2"/>
        <v>Loss</v>
      </c>
      <c r="N91" s="7" t="s">
        <v>21</v>
      </c>
    </row>
    <row r="92" spans="1:14" ht="27" customHeight="1" x14ac:dyDescent="0.45">
      <c r="A92" s="5" t="s">
        <v>327</v>
      </c>
      <c r="B92" s="2">
        <v>41682</v>
      </c>
      <c r="C92" s="1"/>
      <c r="D92" s="1" t="s">
        <v>328</v>
      </c>
      <c r="E92" s="1" t="s">
        <v>79</v>
      </c>
      <c r="F92" s="1" t="s">
        <v>80</v>
      </c>
      <c r="G92" s="1" t="s">
        <v>51</v>
      </c>
      <c r="H92" s="1" t="s">
        <v>30</v>
      </c>
      <c r="I92" s="1">
        <v>2432.16</v>
      </c>
      <c r="J92" s="1">
        <v>5</v>
      </c>
      <c r="K92" s="1">
        <v>0.1</v>
      </c>
      <c r="L92" s="1">
        <v>513.36</v>
      </c>
      <c r="M92" s="15" t="str">
        <f t="shared" si="2"/>
        <v>Profit</v>
      </c>
      <c r="N92" s="7" t="s">
        <v>31</v>
      </c>
    </row>
    <row r="93" spans="1:14" ht="27" customHeight="1" x14ac:dyDescent="0.45">
      <c r="A93" s="6" t="s">
        <v>248</v>
      </c>
      <c r="B93" s="1"/>
      <c r="C93" s="2">
        <v>42125</v>
      </c>
      <c r="D93" s="1"/>
      <c r="E93" s="1" t="s">
        <v>46</v>
      </c>
      <c r="F93" s="1" t="s">
        <v>192</v>
      </c>
      <c r="G93" s="1" t="s">
        <v>51</v>
      </c>
      <c r="H93" s="1" t="s">
        <v>50</v>
      </c>
      <c r="I93" s="1">
        <v>28.853999999999999</v>
      </c>
      <c r="J93" s="1">
        <v>6</v>
      </c>
      <c r="K93" s="1">
        <v>0.7</v>
      </c>
      <c r="L93" s="1">
        <v>-21.159600000000001</v>
      </c>
      <c r="M93" s="15" t="str">
        <f t="shared" si="2"/>
        <v>Loss</v>
      </c>
      <c r="N93" s="7" t="s">
        <v>42</v>
      </c>
    </row>
    <row r="94" spans="1:14" ht="27" customHeight="1" x14ac:dyDescent="0.45">
      <c r="A94" s="5" t="s">
        <v>329</v>
      </c>
      <c r="B94" s="1" t="s">
        <v>23</v>
      </c>
      <c r="C94" s="1" t="s">
        <v>24</v>
      </c>
      <c r="D94" s="1" t="s">
        <v>330</v>
      </c>
      <c r="E94" s="1" t="s">
        <v>331</v>
      </c>
      <c r="F94" s="1" t="s">
        <v>172</v>
      </c>
      <c r="G94" s="1" t="s">
        <v>37</v>
      </c>
      <c r="H94" s="1" t="s">
        <v>84</v>
      </c>
      <c r="I94" s="1" t="s">
        <v>205</v>
      </c>
      <c r="J94" s="1">
        <v>7</v>
      </c>
      <c r="K94" s="1">
        <v>0.25</v>
      </c>
      <c r="L94" s="1" t="s">
        <v>332</v>
      </c>
      <c r="M94" s="15" t="str">
        <f t="shared" si="2"/>
        <v>Profit</v>
      </c>
      <c r="N94" s="7" t="s">
        <v>42</v>
      </c>
    </row>
    <row r="95" spans="1:14" ht="27" customHeight="1" x14ac:dyDescent="0.45">
      <c r="A95" s="5" t="s">
        <v>333</v>
      </c>
      <c r="B95" s="2">
        <v>41460</v>
      </c>
      <c r="C95" s="2">
        <v>41460</v>
      </c>
      <c r="D95" s="3" t="s">
        <v>334</v>
      </c>
      <c r="E95" s="1"/>
      <c r="F95" s="1" t="s">
        <v>18</v>
      </c>
      <c r="G95" s="1" t="s">
        <v>335</v>
      </c>
      <c r="H95" s="1" t="s">
        <v>30</v>
      </c>
      <c r="I95" s="1">
        <v>1847.52</v>
      </c>
      <c r="J95" s="1">
        <v>2</v>
      </c>
      <c r="K95" s="1">
        <v>0</v>
      </c>
      <c r="L95" s="1">
        <v>738.96</v>
      </c>
      <c r="M95" s="15" t="str">
        <f t="shared" si="2"/>
        <v>Profit</v>
      </c>
      <c r="N95" s="7" t="s">
        <v>42</v>
      </c>
    </row>
    <row r="96" spans="1:14" ht="27" customHeight="1" x14ac:dyDescent="0.45">
      <c r="A96" s="5"/>
      <c r="B96" s="1" t="s">
        <v>336</v>
      </c>
      <c r="C96" s="1" t="s">
        <v>337</v>
      </c>
      <c r="D96" s="1" t="s">
        <v>338</v>
      </c>
      <c r="E96" s="1" t="s">
        <v>339</v>
      </c>
      <c r="F96" s="1" t="s">
        <v>80</v>
      </c>
      <c r="G96" s="1" t="s">
        <v>37</v>
      </c>
      <c r="H96" s="1" t="s">
        <v>27</v>
      </c>
      <c r="I96" s="1">
        <v>2899.89</v>
      </c>
      <c r="J96" s="1">
        <v>7</v>
      </c>
      <c r="K96" s="1">
        <v>0</v>
      </c>
      <c r="L96" s="1">
        <v>927.78</v>
      </c>
      <c r="M96" s="15" t="str">
        <f t="shared" si="2"/>
        <v>Profit</v>
      </c>
      <c r="N96" s="7" t="s">
        <v>42</v>
      </c>
    </row>
    <row r="97" spans="1:14" ht="27" customHeight="1" x14ac:dyDescent="0.45">
      <c r="A97" s="5" t="s">
        <v>340</v>
      </c>
      <c r="B97" s="1" t="s">
        <v>341</v>
      </c>
      <c r="C97" s="2">
        <v>41317</v>
      </c>
      <c r="D97" s="1" t="s">
        <v>328</v>
      </c>
      <c r="E97" s="1" t="s">
        <v>17</v>
      </c>
      <c r="F97" s="1" t="s">
        <v>18</v>
      </c>
      <c r="G97" s="1" t="s">
        <v>37</v>
      </c>
      <c r="H97" s="1" t="s">
        <v>50</v>
      </c>
      <c r="I97" s="1">
        <v>2891.7</v>
      </c>
      <c r="J97" s="1">
        <v>7</v>
      </c>
      <c r="K97" s="1">
        <v>0.1</v>
      </c>
      <c r="L97" s="1">
        <v>96.39</v>
      </c>
      <c r="M97" s="15" t="str">
        <f t="shared" si="2"/>
        <v>Neutral</v>
      </c>
      <c r="N97" s="7" t="s">
        <v>21</v>
      </c>
    </row>
    <row r="98" spans="1:14" ht="27" customHeight="1" x14ac:dyDescent="0.45">
      <c r="A98" s="5" t="s">
        <v>342</v>
      </c>
      <c r="B98" s="1" t="s">
        <v>343</v>
      </c>
      <c r="C98" s="1" t="s">
        <v>343</v>
      </c>
      <c r="D98" s="1" t="s">
        <v>344</v>
      </c>
      <c r="E98" s="1" t="s">
        <v>79</v>
      </c>
      <c r="F98" s="1" t="s">
        <v>80</v>
      </c>
      <c r="G98" s="1" t="s">
        <v>19</v>
      </c>
      <c r="H98" s="1" t="s">
        <v>188</v>
      </c>
      <c r="I98" s="1">
        <v>2016.846</v>
      </c>
      <c r="J98" s="1">
        <v>9</v>
      </c>
      <c r="K98" s="1">
        <v>0.15</v>
      </c>
      <c r="L98" s="1">
        <v>-5.3999999999999999E-2</v>
      </c>
      <c r="M98" s="15" t="str">
        <f t="shared" ref="M98:M129" si="3">IF(L98&gt;500,"Profit",IF(L98&lt;0,"Loss","Neutral"))</f>
        <v>Loss</v>
      </c>
      <c r="N98" s="7" t="s">
        <v>31</v>
      </c>
    </row>
    <row r="99" spans="1:14" ht="27" customHeight="1" x14ac:dyDescent="0.45">
      <c r="A99" s="5" t="s">
        <v>345</v>
      </c>
      <c r="B99" s="4">
        <v>41885</v>
      </c>
      <c r="C99" s="2">
        <v>41768</v>
      </c>
      <c r="D99" s="1" t="s">
        <v>346</v>
      </c>
      <c r="E99" s="1" t="s">
        <v>79</v>
      </c>
      <c r="F99" s="1" t="s">
        <v>80</v>
      </c>
      <c r="G99" s="1" t="s">
        <v>51</v>
      </c>
      <c r="H99" s="1" t="s">
        <v>27</v>
      </c>
      <c r="I99" s="1">
        <v>3155.5439999999999</v>
      </c>
      <c r="J99" s="1">
        <v>7</v>
      </c>
      <c r="K99" s="1">
        <v>0.1</v>
      </c>
      <c r="L99" s="1">
        <v>34.944000000000003</v>
      </c>
      <c r="M99" s="15" t="str">
        <f t="shared" si="3"/>
        <v>Neutral</v>
      </c>
      <c r="N99" s="7" t="s">
        <v>42</v>
      </c>
    </row>
    <row r="100" spans="1:14" ht="27" customHeight="1" x14ac:dyDescent="0.45">
      <c r="A100" s="5" t="s">
        <v>347</v>
      </c>
      <c r="B100" s="1" t="s">
        <v>348</v>
      </c>
      <c r="C100" s="2">
        <v>41647</v>
      </c>
      <c r="D100" s="1" t="s">
        <v>349</v>
      </c>
      <c r="E100" s="1" t="s">
        <v>155</v>
      </c>
      <c r="F100" s="1" t="s">
        <v>156</v>
      </c>
      <c r="G100" s="1" t="s">
        <v>19</v>
      </c>
      <c r="H100" s="1" t="s">
        <v>150</v>
      </c>
      <c r="I100" s="1">
        <v>3856.14</v>
      </c>
      <c r="J100" s="1">
        <v>6</v>
      </c>
      <c r="K100" s="1">
        <v>0</v>
      </c>
      <c r="L100" s="1"/>
      <c r="M100" s="15" t="str">
        <f t="shared" si="3"/>
        <v>Neutral</v>
      </c>
      <c r="N100" s="7" t="s">
        <v>85</v>
      </c>
    </row>
    <row r="101" spans="1:14" ht="27" customHeight="1" x14ac:dyDescent="0.45">
      <c r="A101" s="5" t="s">
        <v>350</v>
      </c>
      <c r="B101" s="1" t="s">
        <v>298</v>
      </c>
      <c r="C101" s="1" t="s">
        <v>351</v>
      </c>
      <c r="D101" s="1" t="s">
        <v>352</v>
      </c>
      <c r="E101" s="1" t="s">
        <v>17</v>
      </c>
      <c r="F101" s="1" t="s">
        <v>18</v>
      </c>
      <c r="G101" s="1" t="s">
        <v>19</v>
      </c>
      <c r="H101" s="1" t="s">
        <v>84</v>
      </c>
      <c r="I101" s="1">
        <v>3524.4720000000002</v>
      </c>
      <c r="J101" s="1">
        <v>6</v>
      </c>
      <c r="K101" s="1">
        <v>0.1</v>
      </c>
      <c r="L101" s="1" t="s">
        <v>353</v>
      </c>
      <c r="M101" s="15" t="str">
        <f t="shared" si="3"/>
        <v>Profit</v>
      </c>
      <c r="N101" s="7" t="s">
        <v>85</v>
      </c>
    </row>
    <row r="102" spans="1:14" ht="27" customHeight="1" x14ac:dyDescent="0.45">
      <c r="A102" s="5"/>
      <c r="B102" s="1" t="s">
        <v>354</v>
      </c>
      <c r="C102" s="1" t="s">
        <v>354</v>
      </c>
      <c r="D102" s="1" t="s">
        <v>355</v>
      </c>
      <c r="E102" s="1" t="s">
        <v>79</v>
      </c>
      <c r="F102" s="1" t="s">
        <v>80</v>
      </c>
      <c r="G102" s="1" t="s">
        <v>19</v>
      </c>
      <c r="H102" s="1" t="s">
        <v>30</v>
      </c>
      <c r="I102" s="1">
        <v>2167.2959999999998</v>
      </c>
      <c r="J102" s="1">
        <v>4</v>
      </c>
      <c r="K102" s="1"/>
      <c r="L102" s="1">
        <v>790.41600000000005</v>
      </c>
      <c r="M102" s="15" t="str">
        <f t="shared" si="3"/>
        <v>Profit</v>
      </c>
      <c r="N102" s="7" t="s">
        <v>42</v>
      </c>
    </row>
    <row r="103" spans="1:14" ht="27" customHeight="1" x14ac:dyDescent="0.45">
      <c r="A103" s="5" t="s">
        <v>356</v>
      </c>
      <c r="B103" s="2">
        <v>41588</v>
      </c>
      <c r="C103" s="1" t="s">
        <v>357</v>
      </c>
      <c r="D103" s="1" t="s">
        <v>358</v>
      </c>
      <c r="E103" s="1" t="s">
        <v>111</v>
      </c>
      <c r="F103" s="1" t="s">
        <v>112</v>
      </c>
      <c r="G103" s="1" t="s">
        <v>19</v>
      </c>
      <c r="H103" s="1" t="s">
        <v>30</v>
      </c>
      <c r="I103" s="1"/>
      <c r="J103" s="1">
        <v>6</v>
      </c>
      <c r="K103" s="1">
        <v>0</v>
      </c>
      <c r="L103" s="1">
        <v>178.92</v>
      </c>
      <c r="M103" s="15" t="str">
        <f t="shared" si="3"/>
        <v>Neutral</v>
      </c>
      <c r="N103" s="7" t="s">
        <v>21</v>
      </c>
    </row>
    <row r="104" spans="1:14" ht="27" customHeight="1" x14ac:dyDescent="0.45">
      <c r="A104" s="5"/>
      <c r="B104" s="2">
        <v>41129</v>
      </c>
      <c r="C104" s="2">
        <v>41190</v>
      </c>
      <c r="D104" s="1" t="s">
        <v>359</v>
      </c>
      <c r="E104" s="1" t="s">
        <v>26</v>
      </c>
      <c r="F104" s="1" t="s">
        <v>80</v>
      </c>
      <c r="G104" s="1" t="s">
        <v>19</v>
      </c>
      <c r="H104" s="1" t="s">
        <v>30</v>
      </c>
      <c r="I104" s="1">
        <v>1469.25</v>
      </c>
      <c r="J104" s="1">
        <v>5</v>
      </c>
      <c r="K104" s="1">
        <v>0</v>
      </c>
      <c r="L104" s="1">
        <v>308.39999999999998</v>
      </c>
      <c r="M104" s="15" t="str">
        <f t="shared" si="3"/>
        <v>Neutral</v>
      </c>
      <c r="N104" s="7" t="s">
        <v>31</v>
      </c>
    </row>
    <row r="105" spans="1:14" ht="27" customHeight="1" x14ac:dyDescent="0.45">
      <c r="A105" s="5"/>
      <c r="B105" s="2">
        <v>41010</v>
      </c>
      <c r="C105" s="2">
        <v>41132</v>
      </c>
      <c r="D105" s="3" t="s">
        <v>360</v>
      </c>
      <c r="E105" s="1"/>
      <c r="F105" s="1" t="s">
        <v>80</v>
      </c>
      <c r="G105" s="1" t="s">
        <v>19</v>
      </c>
      <c r="H105" s="1" t="s">
        <v>30</v>
      </c>
      <c r="I105" s="1">
        <v>4448.8320000000003</v>
      </c>
      <c r="J105" s="1">
        <v>8</v>
      </c>
      <c r="K105" s="1">
        <v>0.15</v>
      </c>
      <c r="L105" s="1">
        <v>1517.712</v>
      </c>
      <c r="M105" s="15" t="str">
        <f t="shared" si="3"/>
        <v>Profit</v>
      </c>
      <c r="N105" s="7" t="s">
        <v>42</v>
      </c>
    </row>
    <row r="106" spans="1:14" ht="27" customHeight="1" x14ac:dyDescent="0.45">
      <c r="A106" s="5" t="s">
        <v>361</v>
      </c>
      <c r="B106" s="1" t="s">
        <v>362</v>
      </c>
      <c r="C106" s="2">
        <v>40916</v>
      </c>
      <c r="D106" s="1" t="s">
        <v>249</v>
      </c>
      <c r="E106" s="1" t="s">
        <v>46</v>
      </c>
      <c r="F106" s="1" t="s">
        <v>130</v>
      </c>
      <c r="G106" s="1" t="s">
        <v>51</v>
      </c>
      <c r="H106" s="1" t="s">
        <v>38</v>
      </c>
      <c r="I106" s="1">
        <v>65.78</v>
      </c>
      <c r="J106" s="1">
        <v>11</v>
      </c>
      <c r="K106" s="1">
        <v>0</v>
      </c>
      <c r="L106" s="1">
        <v>32.232199999999999</v>
      </c>
      <c r="M106" s="15" t="str">
        <f t="shared" si="3"/>
        <v>Neutral</v>
      </c>
      <c r="N106" s="7" t="s">
        <v>21</v>
      </c>
    </row>
    <row r="107" spans="1:14" ht="27" customHeight="1" x14ac:dyDescent="0.45">
      <c r="A107" s="5" t="s">
        <v>363</v>
      </c>
      <c r="B107" s="1" t="s">
        <v>364</v>
      </c>
      <c r="C107" s="1" t="s">
        <v>365</v>
      </c>
      <c r="D107" s="1" t="s">
        <v>366</v>
      </c>
      <c r="E107" s="1" t="s">
        <v>367</v>
      </c>
      <c r="F107" s="1" t="s">
        <v>69</v>
      </c>
      <c r="G107" s="1" t="s">
        <v>37</v>
      </c>
      <c r="H107" s="1" t="s">
        <v>30</v>
      </c>
      <c r="I107" s="1"/>
      <c r="J107" s="1">
        <v>9</v>
      </c>
      <c r="K107" s="1">
        <v>0</v>
      </c>
      <c r="L107" s="1">
        <v>914.76</v>
      </c>
      <c r="M107" s="15" t="str">
        <f t="shared" si="3"/>
        <v>Profit</v>
      </c>
      <c r="N107" s="7" t="s">
        <v>42</v>
      </c>
    </row>
    <row r="108" spans="1:14" ht="27" customHeight="1" x14ac:dyDescent="0.45">
      <c r="A108" s="5" t="s">
        <v>368</v>
      </c>
      <c r="B108" s="1" t="s">
        <v>369</v>
      </c>
      <c r="C108" s="1" t="s">
        <v>369</v>
      </c>
      <c r="D108" s="1" t="s">
        <v>370</v>
      </c>
      <c r="E108" s="1" t="s">
        <v>17</v>
      </c>
      <c r="F108" s="1" t="s">
        <v>18</v>
      </c>
      <c r="G108" s="1" t="s">
        <v>51</v>
      </c>
      <c r="H108" s="1" t="s">
        <v>50</v>
      </c>
      <c r="I108" s="1">
        <v>3739.1759999999999</v>
      </c>
      <c r="J108" s="1">
        <v>8</v>
      </c>
      <c r="K108" s="1">
        <v>0.1</v>
      </c>
      <c r="L108" s="1">
        <v>747.81600000000003</v>
      </c>
      <c r="M108" s="15" t="str">
        <f t="shared" si="3"/>
        <v>Profit</v>
      </c>
      <c r="N108" s="7" t="s">
        <v>42</v>
      </c>
    </row>
    <row r="109" spans="1:14" ht="27" customHeight="1" x14ac:dyDescent="0.45">
      <c r="A109" s="5" t="s">
        <v>371</v>
      </c>
      <c r="B109" s="1" t="s">
        <v>372</v>
      </c>
      <c r="C109" s="1" t="s">
        <v>372</v>
      </c>
      <c r="D109" s="1" t="s">
        <v>373</v>
      </c>
      <c r="E109" s="1" t="s">
        <v>374</v>
      </c>
      <c r="F109" s="1" t="s">
        <v>80</v>
      </c>
      <c r="G109" s="1" t="s">
        <v>37</v>
      </c>
      <c r="H109" s="1" t="s">
        <v>188</v>
      </c>
      <c r="I109" s="1">
        <v>2570.8649999999998</v>
      </c>
      <c r="J109" s="1">
        <v>11</v>
      </c>
      <c r="K109" s="1">
        <v>0.5</v>
      </c>
      <c r="L109" s="1">
        <v>-2211.165</v>
      </c>
      <c r="M109" s="15" t="str">
        <f t="shared" si="3"/>
        <v>Loss</v>
      </c>
      <c r="N109" s="7" t="s">
        <v>42</v>
      </c>
    </row>
    <row r="110" spans="1:14" ht="27" customHeight="1" x14ac:dyDescent="0.45">
      <c r="A110" s="5" t="s">
        <v>375</v>
      </c>
      <c r="B110" s="1" t="s">
        <v>272</v>
      </c>
      <c r="C110" s="2">
        <v>41643</v>
      </c>
      <c r="D110" s="1" t="s">
        <v>249</v>
      </c>
      <c r="E110" s="1" t="s">
        <v>46</v>
      </c>
      <c r="F110" s="1" t="s">
        <v>192</v>
      </c>
      <c r="G110" s="1" t="s">
        <v>51</v>
      </c>
      <c r="H110" s="1" t="s">
        <v>84</v>
      </c>
      <c r="I110" s="1">
        <v>31.4</v>
      </c>
      <c r="J110" s="1">
        <v>2</v>
      </c>
      <c r="K110" s="1">
        <v>0</v>
      </c>
      <c r="L110" s="1"/>
      <c r="M110" s="15" t="str">
        <f t="shared" si="3"/>
        <v>Neutral</v>
      </c>
      <c r="N110" s="7" t="s">
        <v>21</v>
      </c>
    </row>
    <row r="111" spans="1:14" ht="27" customHeight="1" x14ac:dyDescent="0.45">
      <c r="A111" s="5" t="s">
        <v>376</v>
      </c>
      <c r="B111" s="2">
        <v>41398</v>
      </c>
      <c r="C111" s="2">
        <v>41398</v>
      </c>
      <c r="D111" s="1" t="s">
        <v>377</v>
      </c>
      <c r="E111" s="1" t="s">
        <v>26</v>
      </c>
      <c r="F111" s="1" t="s">
        <v>80</v>
      </c>
      <c r="G111" s="1" t="s">
        <v>19</v>
      </c>
      <c r="H111" s="1" t="s">
        <v>27</v>
      </c>
      <c r="I111" s="1">
        <v>2875.77</v>
      </c>
      <c r="J111" s="1">
        <v>9</v>
      </c>
      <c r="K111" s="1">
        <v>0.5</v>
      </c>
      <c r="L111" s="1">
        <v>-1783.08</v>
      </c>
      <c r="M111" s="15" t="str">
        <f t="shared" si="3"/>
        <v>Loss</v>
      </c>
      <c r="N111" s="7" t="s">
        <v>42</v>
      </c>
    </row>
    <row r="112" spans="1:14" ht="27" customHeight="1" x14ac:dyDescent="0.45">
      <c r="A112" s="5" t="s">
        <v>378</v>
      </c>
      <c r="B112" s="1" t="s">
        <v>379</v>
      </c>
      <c r="C112" s="1" t="s">
        <v>380</v>
      </c>
      <c r="D112" s="1" t="s">
        <v>381</v>
      </c>
      <c r="E112" s="1" t="s">
        <v>252</v>
      </c>
      <c r="F112" s="1" t="s">
        <v>89</v>
      </c>
      <c r="G112" s="1" t="s">
        <v>37</v>
      </c>
      <c r="H112" s="1" t="s">
        <v>150</v>
      </c>
      <c r="I112" s="1">
        <v>1741.8</v>
      </c>
      <c r="J112" s="1" t="s">
        <v>71</v>
      </c>
      <c r="K112" s="1">
        <v>0</v>
      </c>
      <c r="L112" s="1">
        <v>261.24</v>
      </c>
      <c r="M112" s="15" t="str">
        <f t="shared" si="3"/>
        <v>Neutral</v>
      </c>
      <c r="N112" s="7" t="s">
        <v>31</v>
      </c>
    </row>
    <row r="113" spans="1:14" ht="27" customHeight="1" x14ac:dyDescent="0.45">
      <c r="A113" s="5" t="s">
        <v>382</v>
      </c>
      <c r="B113" s="1" t="s">
        <v>383</v>
      </c>
      <c r="C113" s="1" t="s">
        <v>384</v>
      </c>
      <c r="D113" s="1" t="s">
        <v>385</v>
      </c>
      <c r="E113" s="1" t="s">
        <v>17</v>
      </c>
      <c r="F113" s="1" t="s">
        <v>18</v>
      </c>
      <c r="G113" s="1" t="s">
        <v>19</v>
      </c>
      <c r="H113" s="1" t="s">
        <v>30</v>
      </c>
      <c r="I113" s="1">
        <v>1601.64</v>
      </c>
      <c r="J113" s="1">
        <v>5</v>
      </c>
      <c r="K113" s="1">
        <v>0.1</v>
      </c>
      <c r="L113" s="1">
        <v>587.19000000000005</v>
      </c>
      <c r="M113" s="15" t="str">
        <f t="shared" si="3"/>
        <v>Profit</v>
      </c>
      <c r="N113" s="7" t="s">
        <v>31</v>
      </c>
    </row>
    <row r="114" spans="1:14" ht="27" customHeight="1" x14ac:dyDescent="0.45">
      <c r="A114" s="5" t="s">
        <v>386</v>
      </c>
      <c r="B114" s="1" t="s">
        <v>387</v>
      </c>
      <c r="C114" s="1" t="s">
        <v>388</v>
      </c>
      <c r="D114" s="1" t="s">
        <v>389</v>
      </c>
      <c r="E114" s="1" t="s">
        <v>74</v>
      </c>
      <c r="F114" s="1" t="s">
        <v>103</v>
      </c>
      <c r="G114" s="1" t="s">
        <v>51</v>
      </c>
      <c r="H114" s="1" t="s">
        <v>188</v>
      </c>
      <c r="I114" s="1">
        <v>3670.8</v>
      </c>
      <c r="J114" s="1">
        <v>7</v>
      </c>
      <c r="K114" s="1"/>
      <c r="L114" s="1">
        <v>367.08</v>
      </c>
      <c r="M114" s="15" t="str">
        <f t="shared" si="3"/>
        <v>Neutral</v>
      </c>
      <c r="N114" s="7" t="s">
        <v>42</v>
      </c>
    </row>
    <row r="115" spans="1:14" ht="27" customHeight="1" x14ac:dyDescent="0.45">
      <c r="A115" s="5" t="s">
        <v>390</v>
      </c>
      <c r="B115" s="2">
        <v>42043</v>
      </c>
      <c r="C115" s="2">
        <v>42224</v>
      </c>
      <c r="D115" s="1" t="s">
        <v>249</v>
      </c>
      <c r="E115" s="1" t="s">
        <v>46</v>
      </c>
      <c r="F115" s="3" t="s">
        <v>47</v>
      </c>
      <c r="G115" s="1"/>
      <c r="H115" s="1" t="s">
        <v>38</v>
      </c>
      <c r="I115" s="1">
        <v>36.287999999999997</v>
      </c>
      <c r="J115" s="1">
        <v>7</v>
      </c>
      <c r="K115" s="1">
        <v>0.2</v>
      </c>
      <c r="L115" s="1">
        <v>12.700799999999999</v>
      </c>
      <c r="M115" s="15" t="str">
        <f t="shared" si="3"/>
        <v>Neutral</v>
      </c>
      <c r="N115" s="7" t="s">
        <v>21</v>
      </c>
    </row>
    <row r="116" spans="1:14" ht="27" customHeight="1" x14ac:dyDescent="0.45">
      <c r="A116" s="5"/>
      <c r="B116" s="1" t="s">
        <v>391</v>
      </c>
      <c r="C116" s="1" t="s">
        <v>392</v>
      </c>
      <c r="D116" s="1" t="s">
        <v>393</v>
      </c>
      <c r="E116" s="1" t="s">
        <v>26</v>
      </c>
      <c r="F116" s="1" t="s">
        <v>394</v>
      </c>
      <c r="G116" s="1" t="s">
        <v>19</v>
      </c>
      <c r="H116" s="1" t="s">
        <v>84</v>
      </c>
      <c r="I116" s="1">
        <v>1900.95</v>
      </c>
      <c r="J116" s="1">
        <v>5</v>
      </c>
      <c r="K116" s="1">
        <v>0</v>
      </c>
      <c r="L116" s="1">
        <v>589.20000000000005</v>
      </c>
      <c r="M116" s="15" t="str">
        <f t="shared" si="3"/>
        <v>Profit</v>
      </c>
      <c r="N116" s="7" t="s">
        <v>42</v>
      </c>
    </row>
    <row r="117" spans="1:14" ht="27" customHeight="1" x14ac:dyDescent="0.45">
      <c r="A117" s="5" t="s">
        <v>248</v>
      </c>
      <c r="B117" s="2">
        <v>42064</v>
      </c>
      <c r="C117" s="2">
        <v>42125</v>
      </c>
      <c r="D117" s="1" t="s">
        <v>249</v>
      </c>
      <c r="E117" s="1" t="s">
        <v>46</v>
      </c>
      <c r="F117" s="1" t="s">
        <v>192</v>
      </c>
      <c r="G117" s="1" t="s">
        <v>51</v>
      </c>
      <c r="H117" s="1" t="s">
        <v>150</v>
      </c>
      <c r="I117" s="1">
        <v>15.66</v>
      </c>
      <c r="J117" s="1">
        <v>5</v>
      </c>
      <c r="K117" s="1">
        <v>0.7</v>
      </c>
      <c r="L117" s="1">
        <v>-12.528</v>
      </c>
      <c r="M117" s="15" t="str">
        <f t="shared" si="3"/>
        <v>Loss</v>
      </c>
      <c r="N117" s="7" t="s">
        <v>42</v>
      </c>
    </row>
    <row r="118" spans="1:14" ht="27" customHeight="1" x14ac:dyDescent="0.45">
      <c r="A118" s="5" t="s">
        <v>395</v>
      </c>
      <c r="B118" s="1" t="s">
        <v>396</v>
      </c>
      <c r="C118" s="1" t="s">
        <v>82</v>
      </c>
      <c r="D118" s="1" t="s">
        <v>397</v>
      </c>
      <c r="E118" s="1" t="s">
        <v>79</v>
      </c>
      <c r="F118" s="1" t="s">
        <v>80</v>
      </c>
      <c r="G118" s="1" t="s">
        <v>37</v>
      </c>
      <c r="H118" s="1" t="s">
        <v>38</v>
      </c>
      <c r="I118" s="1">
        <v>4544.1000000000004</v>
      </c>
      <c r="J118" s="1">
        <v>11</v>
      </c>
      <c r="K118" s="1">
        <v>0.1</v>
      </c>
      <c r="L118" s="1">
        <v>1868.13</v>
      </c>
      <c r="M118" s="15" t="str">
        <f t="shared" si="3"/>
        <v>Profit</v>
      </c>
      <c r="N118" s="7" t="s">
        <v>21</v>
      </c>
    </row>
    <row r="119" spans="1:14" ht="27" customHeight="1" x14ac:dyDescent="0.45">
      <c r="A119" s="5" t="s">
        <v>398</v>
      </c>
      <c r="B119" s="1" t="s">
        <v>399</v>
      </c>
      <c r="C119" s="2">
        <v>41676</v>
      </c>
      <c r="D119" s="1" t="s">
        <v>400</v>
      </c>
      <c r="E119" s="1" t="s">
        <v>74</v>
      </c>
      <c r="F119" s="1" t="s">
        <v>103</v>
      </c>
      <c r="G119" s="1" t="s">
        <v>37</v>
      </c>
      <c r="H119" s="1" t="s">
        <v>401</v>
      </c>
      <c r="I119" s="1">
        <v>1455.12</v>
      </c>
      <c r="J119" s="1">
        <v>4</v>
      </c>
      <c r="K119" s="1">
        <v>0</v>
      </c>
      <c r="L119" s="1">
        <v>116.4</v>
      </c>
      <c r="M119" s="15" t="str">
        <f t="shared" si="3"/>
        <v>Neutral</v>
      </c>
      <c r="N119" s="7" t="s">
        <v>31</v>
      </c>
    </row>
    <row r="120" spans="1:14" ht="27" customHeight="1" x14ac:dyDescent="0.45">
      <c r="A120" s="5" t="s">
        <v>402</v>
      </c>
      <c r="B120" s="2">
        <v>41649</v>
      </c>
      <c r="C120" s="2">
        <v>41680</v>
      </c>
      <c r="D120" s="1" t="s">
        <v>403</v>
      </c>
      <c r="E120" s="1" t="s">
        <v>17</v>
      </c>
      <c r="F120" s="1" t="s">
        <v>18</v>
      </c>
      <c r="G120" s="1" t="s">
        <v>19</v>
      </c>
      <c r="H120" s="1" t="s">
        <v>27</v>
      </c>
      <c r="I120" s="1">
        <v>1943.19</v>
      </c>
      <c r="J120" s="1">
        <v>6</v>
      </c>
      <c r="K120" s="1">
        <v>0.1</v>
      </c>
      <c r="L120" s="1">
        <v>258.93</v>
      </c>
      <c r="M120" s="15" t="str">
        <f t="shared" si="3"/>
        <v>Neutral</v>
      </c>
      <c r="N120" s="7" t="s">
        <v>42</v>
      </c>
    </row>
    <row r="121" spans="1:14" ht="27" customHeight="1" x14ac:dyDescent="0.45">
      <c r="A121" s="5" t="s">
        <v>404</v>
      </c>
      <c r="B121" s="2">
        <v>42196</v>
      </c>
      <c r="C121" s="1" t="s">
        <v>405</v>
      </c>
      <c r="D121" s="1" t="s">
        <v>366</v>
      </c>
      <c r="E121" s="1" t="s">
        <v>46</v>
      </c>
      <c r="F121" s="1" t="s">
        <v>49</v>
      </c>
      <c r="G121" s="1" t="s">
        <v>37</v>
      </c>
      <c r="H121" s="1" t="s">
        <v>188</v>
      </c>
      <c r="I121" s="1">
        <v>2036.86</v>
      </c>
      <c r="J121" s="1">
        <v>7</v>
      </c>
      <c r="K121" s="1">
        <v>0</v>
      </c>
      <c r="L121" s="1">
        <v>366.63479999999998</v>
      </c>
      <c r="M121" s="15" t="str">
        <f t="shared" si="3"/>
        <v>Neutral</v>
      </c>
      <c r="N121" s="7" t="s">
        <v>85</v>
      </c>
    </row>
    <row r="122" spans="1:14" ht="27" customHeight="1" x14ac:dyDescent="0.45">
      <c r="A122" s="5" t="s">
        <v>406</v>
      </c>
      <c r="B122" s="2">
        <v>41679</v>
      </c>
      <c r="C122" s="2">
        <v>41738</v>
      </c>
      <c r="D122" s="1" t="s">
        <v>366</v>
      </c>
      <c r="E122" s="1" t="s">
        <v>46</v>
      </c>
      <c r="F122" s="1" t="s">
        <v>224</v>
      </c>
      <c r="G122" s="1" t="s">
        <v>51</v>
      </c>
      <c r="H122" s="1" t="s">
        <v>38</v>
      </c>
      <c r="I122" s="1" t="s">
        <v>205</v>
      </c>
      <c r="J122" s="1">
        <v>4</v>
      </c>
      <c r="K122" s="1">
        <v>0.2</v>
      </c>
      <c r="L122" s="1">
        <v>1415.4295999999999</v>
      </c>
      <c r="M122" s="15" t="str">
        <f t="shared" si="3"/>
        <v>Profit</v>
      </c>
      <c r="N122" s="7" t="s">
        <v>31</v>
      </c>
    </row>
    <row r="123" spans="1:14" ht="27" customHeight="1" x14ac:dyDescent="0.45">
      <c r="A123" s="5" t="s">
        <v>407</v>
      </c>
      <c r="B123" s="2">
        <v>41955</v>
      </c>
      <c r="C123" s="1" t="s">
        <v>323</v>
      </c>
      <c r="D123" s="1" t="s">
        <v>102</v>
      </c>
      <c r="E123" s="1" t="s">
        <v>17</v>
      </c>
      <c r="F123" s="1" t="s">
        <v>18</v>
      </c>
      <c r="G123" s="1" t="s">
        <v>19</v>
      </c>
      <c r="H123" s="1" t="s">
        <v>150</v>
      </c>
      <c r="I123" s="1">
        <v>1695.87</v>
      </c>
      <c r="J123" s="1">
        <v>5</v>
      </c>
      <c r="K123" s="1">
        <v>0.1</v>
      </c>
      <c r="L123" s="1">
        <v>-37.83</v>
      </c>
      <c r="M123" s="15" t="str">
        <f t="shared" si="3"/>
        <v>Loss</v>
      </c>
      <c r="N123" s="7" t="s">
        <v>31</v>
      </c>
    </row>
    <row r="124" spans="1:14" ht="27" customHeight="1" x14ac:dyDescent="0.45">
      <c r="A124" s="5" t="s">
        <v>408</v>
      </c>
      <c r="B124" s="1" t="s">
        <v>409</v>
      </c>
      <c r="C124" s="1" t="s">
        <v>410</v>
      </c>
      <c r="D124" s="1" t="s">
        <v>318</v>
      </c>
      <c r="E124" s="1" t="s">
        <v>79</v>
      </c>
      <c r="F124" s="1" t="s">
        <v>80</v>
      </c>
      <c r="G124" s="1" t="s">
        <v>19</v>
      </c>
      <c r="H124" s="1" t="s">
        <v>52</v>
      </c>
      <c r="I124" s="1">
        <v>1505.979</v>
      </c>
      <c r="J124" s="1">
        <v>6</v>
      </c>
      <c r="K124" s="1">
        <v>0.15</v>
      </c>
      <c r="L124" s="1">
        <v>-265.76100000000002</v>
      </c>
      <c r="M124" s="15" t="str">
        <f t="shared" si="3"/>
        <v>Loss</v>
      </c>
      <c r="N124" s="7" t="s">
        <v>31</v>
      </c>
    </row>
    <row r="125" spans="1:14" ht="27" customHeight="1" x14ac:dyDescent="0.45">
      <c r="A125" s="5" t="s">
        <v>411</v>
      </c>
      <c r="B125" s="1" t="s">
        <v>237</v>
      </c>
      <c r="C125" s="1" t="s">
        <v>202</v>
      </c>
      <c r="D125" s="1" t="s">
        <v>412</v>
      </c>
      <c r="E125" s="1" t="s">
        <v>413</v>
      </c>
      <c r="F125" s="1" t="s">
        <v>172</v>
      </c>
      <c r="G125" s="1" t="s">
        <v>19</v>
      </c>
      <c r="H125" s="1" t="s">
        <v>38</v>
      </c>
      <c r="I125" s="1">
        <v>1954.17</v>
      </c>
      <c r="J125" s="1">
        <v>3</v>
      </c>
      <c r="K125" s="1">
        <v>0</v>
      </c>
      <c r="L125" s="1">
        <v>312.66000000000003</v>
      </c>
      <c r="M125" s="15" t="str">
        <f t="shared" si="3"/>
        <v>Neutral</v>
      </c>
      <c r="N125" s="7" t="s">
        <v>31</v>
      </c>
    </row>
    <row r="126" spans="1:14" ht="27" customHeight="1" x14ac:dyDescent="0.45">
      <c r="A126" s="5" t="s">
        <v>404</v>
      </c>
      <c r="B126" s="2">
        <v>42196</v>
      </c>
      <c r="C126" s="1" t="s">
        <v>405</v>
      </c>
      <c r="D126" s="1" t="s">
        <v>366</v>
      </c>
      <c r="E126" s="1" t="s">
        <v>46</v>
      </c>
      <c r="F126" s="1" t="s">
        <v>49</v>
      </c>
      <c r="G126" s="1" t="s">
        <v>37</v>
      </c>
      <c r="H126" s="1" t="s">
        <v>38</v>
      </c>
      <c r="I126" s="1">
        <v>449.56799999999998</v>
      </c>
      <c r="J126" s="1">
        <v>2</v>
      </c>
      <c r="K126" s="1">
        <v>0.2</v>
      </c>
      <c r="L126" s="1">
        <v>-73.0548</v>
      </c>
      <c r="M126" s="15" t="str">
        <f t="shared" si="3"/>
        <v>Loss</v>
      </c>
      <c r="N126" s="7" t="s">
        <v>85</v>
      </c>
    </row>
    <row r="127" spans="1:14" ht="27" customHeight="1" x14ac:dyDescent="0.45">
      <c r="A127" s="5" t="s">
        <v>414</v>
      </c>
      <c r="B127" s="1" t="s">
        <v>415</v>
      </c>
      <c r="C127" s="1" t="s">
        <v>416</v>
      </c>
      <c r="D127" s="1" t="s">
        <v>366</v>
      </c>
      <c r="E127" s="1" t="s">
        <v>46</v>
      </c>
      <c r="F127" s="1" t="s">
        <v>192</v>
      </c>
      <c r="G127" s="1" t="s">
        <v>51</v>
      </c>
      <c r="H127" s="1" t="s">
        <v>30</v>
      </c>
      <c r="I127" s="1">
        <v>160.32</v>
      </c>
      <c r="J127" s="1">
        <v>2</v>
      </c>
      <c r="K127" s="1">
        <v>0</v>
      </c>
      <c r="L127" s="1">
        <v>291.20200740000001</v>
      </c>
      <c r="M127" s="15" t="str">
        <f t="shared" si="3"/>
        <v>Neutral</v>
      </c>
      <c r="N127" s="7" t="s">
        <v>21</v>
      </c>
    </row>
    <row r="128" spans="1:14" ht="27" customHeight="1" x14ac:dyDescent="0.45">
      <c r="A128" s="5"/>
      <c r="B128" s="2">
        <v>42196</v>
      </c>
      <c r="C128" s="1" t="s">
        <v>405</v>
      </c>
      <c r="D128" s="1"/>
      <c r="E128" s="1"/>
      <c r="F128" s="1" t="s">
        <v>49</v>
      </c>
      <c r="G128" s="1" t="s">
        <v>19</v>
      </c>
      <c r="H128" s="1" t="s">
        <v>50</v>
      </c>
      <c r="I128" s="1">
        <v>108.96</v>
      </c>
      <c r="J128" s="1" t="s">
        <v>71</v>
      </c>
      <c r="K128" s="1">
        <v>0</v>
      </c>
      <c r="L128" s="1">
        <v>32.688000000000002</v>
      </c>
      <c r="M128" s="15" t="str">
        <f t="shared" si="3"/>
        <v>Neutral</v>
      </c>
      <c r="N128" s="7" t="s">
        <v>85</v>
      </c>
    </row>
    <row r="129" spans="1:14" ht="27" customHeight="1" x14ac:dyDescent="0.45">
      <c r="A129" s="5" t="s">
        <v>417</v>
      </c>
      <c r="B129" s="1" t="s">
        <v>211</v>
      </c>
      <c r="C129" s="1" t="s">
        <v>211</v>
      </c>
      <c r="D129" s="1" t="s">
        <v>418</v>
      </c>
      <c r="E129" s="1" t="s">
        <v>419</v>
      </c>
      <c r="F129" s="1" t="s">
        <v>69</v>
      </c>
      <c r="G129" s="1" t="s">
        <v>19</v>
      </c>
      <c r="H129" s="1" t="s">
        <v>38</v>
      </c>
      <c r="I129" s="1">
        <v>1213.18876</v>
      </c>
      <c r="J129" s="1">
        <v>7</v>
      </c>
      <c r="K129" s="1">
        <v>2E-3</v>
      </c>
      <c r="L129" s="1">
        <v>508.00876</v>
      </c>
      <c r="M129" s="15" t="str">
        <f t="shared" si="3"/>
        <v>Profit</v>
      </c>
      <c r="N129" s="7" t="s">
        <v>31</v>
      </c>
    </row>
    <row r="130" spans="1:14" ht="27" customHeight="1" x14ac:dyDescent="0.45">
      <c r="A130" s="5" t="s">
        <v>420</v>
      </c>
      <c r="B130" s="1" t="s">
        <v>289</v>
      </c>
      <c r="C130" s="1" t="s">
        <v>336</v>
      </c>
      <c r="D130" s="1" t="s">
        <v>421</v>
      </c>
      <c r="E130" s="1" t="s">
        <v>134</v>
      </c>
      <c r="F130" s="1" t="s">
        <v>58</v>
      </c>
      <c r="G130" s="1" t="s">
        <v>19</v>
      </c>
      <c r="H130" s="1" t="s">
        <v>27</v>
      </c>
      <c r="I130" s="1">
        <v>1590.6</v>
      </c>
      <c r="J130" s="1">
        <v>5</v>
      </c>
      <c r="K130" s="1"/>
      <c r="L130" s="1">
        <v>572.54999999999995</v>
      </c>
      <c r="M130" s="15" t="str">
        <f t="shared" ref="M130:M150" si="4">IF(L130&gt;500,"Profit",IF(L130&lt;0,"Loss","Neutral"))</f>
        <v>Profit</v>
      </c>
      <c r="N130" s="7" t="s">
        <v>31</v>
      </c>
    </row>
    <row r="131" spans="1:14" ht="27" customHeight="1" x14ac:dyDescent="0.45">
      <c r="A131" s="5"/>
      <c r="B131" s="2">
        <v>41831</v>
      </c>
      <c r="C131" s="2">
        <v>41923</v>
      </c>
      <c r="D131" s="1" t="s">
        <v>422</v>
      </c>
      <c r="E131" s="1" t="s">
        <v>74</v>
      </c>
      <c r="F131" s="1" t="s">
        <v>103</v>
      </c>
      <c r="G131" s="1" t="s">
        <v>19</v>
      </c>
      <c r="H131" s="1" t="s">
        <v>38</v>
      </c>
      <c r="I131" s="1"/>
      <c r="J131" s="1">
        <v>9</v>
      </c>
      <c r="K131" s="1">
        <v>0</v>
      </c>
      <c r="L131" s="1">
        <v>1025.46</v>
      </c>
      <c r="M131" s="15" t="str">
        <f t="shared" si="4"/>
        <v>Profit</v>
      </c>
      <c r="N131" s="7" t="s">
        <v>31</v>
      </c>
    </row>
    <row r="132" spans="1:14" ht="27" customHeight="1" x14ac:dyDescent="0.45">
      <c r="A132" s="5" t="s">
        <v>423</v>
      </c>
      <c r="B132" s="1" t="s">
        <v>424</v>
      </c>
      <c r="C132" s="1" t="s">
        <v>425</v>
      </c>
      <c r="D132" s="1" t="s">
        <v>426</v>
      </c>
      <c r="E132" s="1" t="s">
        <v>171</v>
      </c>
      <c r="F132" s="1" t="s">
        <v>172</v>
      </c>
      <c r="G132" s="1" t="s">
        <v>37</v>
      </c>
      <c r="H132" s="1" t="s">
        <v>38</v>
      </c>
      <c r="I132" s="1">
        <v>3278.5848000000001</v>
      </c>
      <c r="J132" s="1">
        <v>8</v>
      </c>
      <c r="K132" s="1">
        <v>7.0000000000000007E-2</v>
      </c>
      <c r="L132" s="1">
        <v>140.82480000000001</v>
      </c>
      <c r="M132" s="15" t="str">
        <f t="shared" si="4"/>
        <v>Neutral</v>
      </c>
      <c r="N132" s="7" t="s">
        <v>42</v>
      </c>
    </row>
    <row r="133" spans="1:14" ht="27" customHeight="1" x14ac:dyDescent="0.45">
      <c r="A133" s="5" t="s">
        <v>427</v>
      </c>
      <c r="B133" s="1" t="s">
        <v>428</v>
      </c>
      <c r="C133" s="1" t="s">
        <v>428</v>
      </c>
      <c r="D133" s="1" t="s">
        <v>257</v>
      </c>
      <c r="E133" s="1" t="s">
        <v>429</v>
      </c>
      <c r="F133" s="1" t="s">
        <v>172</v>
      </c>
      <c r="G133" s="1" t="s">
        <v>19</v>
      </c>
      <c r="H133" s="1" t="s">
        <v>20</v>
      </c>
      <c r="I133" s="1">
        <v>3741.5237999999999</v>
      </c>
      <c r="J133" s="1">
        <v>7</v>
      </c>
      <c r="K133" s="1">
        <v>0.17</v>
      </c>
      <c r="L133" s="1">
        <v>946.63379999999995</v>
      </c>
      <c r="M133" s="15" t="str">
        <f t="shared" si="4"/>
        <v>Profit</v>
      </c>
      <c r="N133" s="7" t="s">
        <v>42</v>
      </c>
    </row>
    <row r="134" spans="1:14" ht="27" customHeight="1" x14ac:dyDescent="0.45">
      <c r="A134" s="5"/>
      <c r="B134" s="2">
        <v>42166</v>
      </c>
      <c r="C134" s="2">
        <v>42227</v>
      </c>
      <c r="D134" s="1" t="s">
        <v>366</v>
      </c>
      <c r="E134" s="1" t="s">
        <v>46</v>
      </c>
      <c r="F134" s="1" t="s">
        <v>47</v>
      </c>
      <c r="G134" s="1" t="s">
        <v>51</v>
      </c>
      <c r="H134" s="1" t="s">
        <v>188</v>
      </c>
      <c r="I134" s="1">
        <v>67.8</v>
      </c>
      <c r="J134" s="1">
        <v>10</v>
      </c>
      <c r="K134" s="1">
        <v>0</v>
      </c>
      <c r="L134" s="1">
        <v>31.187999999999999</v>
      </c>
      <c r="M134" s="15" t="str">
        <f t="shared" si="4"/>
        <v>Neutral</v>
      </c>
      <c r="N134" s="7" t="s">
        <v>42</v>
      </c>
    </row>
    <row r="135" spans="1:14" ht="27" customHeight="1" x14ac:dyDescent="0.45">
      <c r="A135" s="5" t="s">
        <v>430</v>
      </c>
      <c r="B135" s="2">
        <v>41548</v>
      </c>
      <c r="C135" s="1" t="s">
        <v>431</v>
      </c>
      <c r="D135" s="1" t="s">
        <v>344</v>
      </c>
      <c r="E135" s="1" t="s">
        <v>171</v>
      </c>
      <c r="F135" s="1" t="s">
        <v>172</v>
      </c>
      <c r="G135" s="1" t="s">
        <v>37</v>
      </c>
      <c r="H135" s="1" t="s">
        <v>30</v>
      </c>
      <c r="I135" s="1">
        <v>3637.6019999999999</v>
      </c>
      <c r="J135" s="1">
        <v>10</v>
      </c>
      <c r="K135" s="1">
        <v>7.0000000000000007E-2</v>
      </c>
      <c r="L135" s="1">
        <v>156.40199999999999</v>
      </c>
      <c r="M135" s="15" t="str">
        <f t="shared" si="4"/>
        <v>Neutral</v>
      </c>
      <c r="N135" s="7" t="s">
        <v>42</v>
      </c>
    </row>
    <row r="136" spans="1:14" ht="27" customHeight="1" x14ac:dyDescent="0.45">
      <c r="A136" s="5" t="s">
        <v>432</v>
      </c>
      <c r="B136" s="1" t="s">
        <v>23</v>
      </c>
      <c r="C136" s="1" t="s">
        <v>24</v>
      </c>
      <c r="D136" s="1"/>
      <c r="E136" s="1" t="s">
        <v>111</v>
      </c>
      <c r="F136" s="1" t="s">
        <v>112</v>
      </c>
      <c r="G136" s="1" t="s">
        <v>51</v>
      </c>
      <c r="H136" s="1" t="s">
        <v>27</v>
      </c>
      <c r="I136" s="1" t="s">
        <v>205</v>
      </c>
      <c r="J136" s="1"/>
      <c r="K136" s="1">
        <v>0</v>
      </c>
      <c r="L136" s="1">
        <v>785.82</v>
      </c>
      <c r="M136" s="15" t="str">
        <f t="shared" si="4"/>
        <v>Profit</v>
      </c>
      <c r="N136" s="7" t="s">
        <v>21</v>
      </c>
    </row>
    <row r="137" spans="1:14" ht="27" customHeight="1" x14ac:dyDescent="0.45">
      <c r="A137" s="5" t="s">
        <v>433</v>
      </c>
      <c r="B137" s="1" t="s">
        <v>434</v>
      </c>
      <c r="C137" s="1" t="s">
        <v>435</v>
      </c>
      <c r="D137" s="1" t="s">
        <v>45</v>
      </c>
      <c r="E137" s="1" t="s">
        <v>74</v>
      </c>
      <c r="F137" s="1"/>
      <c r="G137" s="1" t="s">
        <v>19</v>
      </c>
      <c r="H137" s="1" t="s">
        <v>188</v>
      </c>
      <c r="I137" s="1">
        <v>1024.68</v>
      </c>
      <c r="J137" s="1">
        <v>8</v>
      </c>
      <c r="K137" s="1">
        <v>0.5</v>
      </c>
      <c r="L137" s="1"/>
      <c r="M137" s="15" t="str">
        <f t="shared" si="4"/>
        <v>Neutral</v>
      </c>
      <c r="N137" s="7"/>
    </row>
    <row r="138" spans="1:14" ht="27" customHeight="1" x14ac:dyDescent="0.45">
      <c r="A138" s="6" t="s">
        <v>436</v>
      </c>
      <c r="B138" s="1"/>
      <c r="C138" s="2">
        <v>42227</v>
      </c>
      <c r="D138" s="1" t="s">
        <v>366</v>
      </c>
      <c r="E138" s="1" t="s">
        <v>46</v>
      </c>
      <c r="F138" s="1" t="s">
        <v>47</v>
      </c>
      <c r="G138" s="1" t="s">
        <v>51</v>
      </c>
      <c r="H138" s="1" t="s">
        <v>84</v>
      </c>
      <c r="I138" s="1">
        <v>167.94</v>
      </c>
      <c r="J138" s="1">
        <v>3</v>
      </c>
      <c r="K138" s="1">
        <v>0</v>
      </c>
      <c r="L138" s="1">
        <v>82.290599999999998</v>
      </c>
      <c r="M138" s="15" t="str">
        <f t="shared" si="4"/>
        <v>Neutral</v>
      </c>
      <c r="N138" s="7" t="s">
        <v>42</v>
      </c>
    </row>
    <row r="139" spans="1:14" ht="27" customHeight="1" x14ac:dyDescent="0.45">
      <c r="A139" s="5" t="s">
        <v>406</v>
      </c>
      <c r="B139" s="2">
        <v>41679</v>
      </c>
      <c r="C139" s="2">
        <v>41738</v>
      </c>
      <c r="D139" s="1" t="s">
        <v>366</v>
      </c>
      <c r="E139" s="1" t="s">
        <v>46</v>
      </c>
      <c r="F139" s="1" t="s">
        <v>130</v>
      </c>
      <c r="G139" s="1" t="s">
        <v>51</v>
      </c>
      <c r="H139" s="1" t="s">
        <v>150</v>
      </c>
      <c r="I139" s="1"/>
      <c r="J139" s="1">
        <v>2</v>
      </c>
      <c r="K139" s="1">
        <v>0</v>
      </c>
      <c r="L139" s="1">
        <v>83.822606759999999</v>
      </c>
      <c r="M139" s="15" t="str">
        <f t="shared" si="4"/>
        <v>Neutral</v>
      </c>
      <c r="N139" s="7" t="s">
        <v>31</v>
      </c>
    </row>
    <row r="140" spans="1:14" ht="27" customHeight="1" x14ac:dyDescent="0.45">
      <c r="A140" s="5" t="s">
        <v>437</v>
      </c>
      <c r="B140" s="2">
        <v>41437</v>
      </c>
      <c r="C140" s="2">
        <v>41498</v>
      </c>
      <c r="D140" s="1" t="s">
        <v>438</v>
      </c>
      <c r="E140" s="1" t="s">
        <v>68</v>
      </c>
      <c r="F140" s="1" t="s">
        <v>69</v>
      </c>
      <c r="G140" s="1" t="s">
        <v>19</v>
      </c>
      <c r="H140" s="1" t="s">
        <v>27</v>
      </c>
      <c r="I140" s="1">
        <v>2297.96</v>
      </c>
      <c r="J140" s="1">
        <v>14</v>
      </c>
      <c r="K140" s="1">
        <v>0</v>
      </c>
      <c r="L140" s="1">
        <v>988.12</v>
      </c>
      <c r="M140" s="15" t="str">
        <f t="shared" si="4"/>
        <v>Profit</v>
      </c>
      <c r="N140" s="7" t="s">
        <v>42</v>
      </c>
    </row>
    <row r="141" spans="1:14" ht="27" customHeight="1" x14ac:dyDescent="0.45">
      <c r="A141" s="5" t="s">
        <v>439</v>
      </c>
      <c r="B141" s="2">
        <v>41768</v>
      </c>
      <c r="C141" s="2">
        <v>41829</v>
      </c>
      <c r="D141" s="1" t="s">
        <v>440</v>
      </c>
      <c r="E141" s="1" t="s">
        <v>88</v>
      </c>
      <c r="F141" s="1" t="s">
        <v>89</v>
      </c>
      <c r="G141" s="1" t="s">
        <v>19</v>
      </c>
      <c r="H141" s="1" t="s">
        <v>150</v>
      </c>
      <c r="I141" s="1">
        <v>2671.41</v>
      </c>
      <c r="J141" s="1">
        <v>7</v>
      </c>
      <c r="K141" s="1">
        <v>0</v>
      </c>
      <c r="L141" s="1"/>
      <c r="M141" s="15" t="str">
        <f t="shared" si="4"/>
        <v>Neutral</v>
      </c>
      <c r="N141" s="7" t="s">
        <v>42</v>
      </c>
    </row>
    <row r="142" spans="1:14" ht="27" customHeight="1" x14ac:dyDescent="0.45">
      <c r="A142" s="5" t="s">
        <v>441</v>
      </c>
      <c r="B142" s="1" t="s">
        <v>211</v>
      </c>
      <c r="C142" s="1" t="s">
        <v>442</v>
      </c>
      <c r="D142" s="1" t="s">
        <v>443</v>
      </c>
      <c r="E142" s="1" t="s">
        <v>444</v>
      </c>
      <c r="F142" s="1" t="s">
        <v>97</v>
      </c>
      <c r="G142" s="1" t="s">
        <v>19</v>
      </c>
      <c r="H142" s="1" t="s">
        <v>20</v>
      </c>
      <c r="I142" s="1">
        <v>3834</v>
      </c>
      <c r="J142" s="1">
        <v>6</v>
      </c>
      <c r="K142" s="1">
        <v>0</v>
      </c>
      <c r="L142" s="1">
        <v>268.38</v>
      </c>
      <c r="M142" s="15" t="str">
        <f t="shared" si="4"/>
        <v>Neutral</v>
      </c>
      <c r="N142" s="7" t="s">
        <v>42</v>
      </c>
    </row>
    <row r="143" spans="1:14" ht="27" customHeight="1" x14ac:dyDescent="0.45">
      <c r="A143" s="5" t="s">
        <v>406</v>
      </c>
      <c r="B143" s="2">
        <v>41679</v>
      </c>
      <c r="C143" s="2">
        <v>41738</v>
      </c>
      <c r="D143" s="1" t="s">
        <v>366</v>
      </c>
      <c r="E143" s="1" t="s">
        <v>445</v>
      </c>
      <c r="F143" s="1" t="s">
        <v>130</v>
      </c>
      <c r="G143" s="1" t="s">
        <v>51</v>
      </c>
      <c r="H143" s="1" t="s">
        <v>38</v>
      </c>
      <c r="I143" s="1">
        <v>49.12</v>
      </c>
      <c r="J143" s="1">
        <v>4</v>
      </c>
      <c r="K143" s="1">
        <v>0</v>
      </c>
      <c r="L143" s="1">
        <v>23.086400000000001</v>
      </c>
      <c r="M143" s="15" t="str">
        <f t="shared" si="4"/>
        <v>Neutral</v>
      </c>
      <c r="N143" s="7" t="s">
        <v>31</v>
      </c>
    </row>
    <row r="144" spans="1:14" ht="27" customHeight="1" x14ac:dyDescent="0.45">
      <c r="A144" s="5" t="s">
        <v>446</v>
      </c>
      <c r="B144" s="2">
        <v>41341</v>
      </c>
      <c r="C144" s="2">
        <v>41494</v>
      </c>
      <c r="D144" s="1" t="s">
        <v>447</v>
      </c>
      <c r="E144" s="1" t="s">
        <v>171</v>
      </c>
      <c r="F144" s="1" t="s">
        <v>172</v>
      </c>
      <c r="G144" s="1" t="s">
        <v>51</v>
      </c>
      <c r="H144" s="1" t="s">
        <v>30</v>
      </c>
      <c r="I144" s="1">
        <v>3501.7368000000001</v>
      </c>
      <c r="J144" s="1">
        <v>8</v>
      </c>
      <c r="K144" s="1">
        <v>0.17</v>
      </c>
      <c r="L144" s="1">
        <v>210.85679999999999</v>
      </c>
      <c r="M144" s="15" t="str">
        <f t="shared" si="4"/>
        <v>Neutral</v>
      </c>
      <c r="N144" s="7" t="s">
        <v>42</v>
      </c>
    </row>
    <row r="145" spans="1:14" ht="27" customHeight="1" x14ac:dyDescent="0.45">
      <c r="A145" s="6" t="s">
        <v>448</v>
      </c>
      <c r="B145" s="1"/>
      <c r="C145" s="2">
        <v>42320</v>
      </c>
      <c r="D145" s="1" t="s">
        <v>449</v>
      </c>
      <c r="E145" s="1" t="s">
        <v>17</v>
      </c>
      <c r="F145" s="1" t="s">
        <v>18</v>
      </c>
      <c r="G145" s="1" t="s">
        <v>19</v>
      </c>
      <c r="H145" s="1" t="s">
        <v>27</v>
      </c>
      <c r="I145" s="1">
        <v>1725.462</v>
      </c>
      <c r="J145" s="1">
        <v>3</v>
      </c>
      <c r="K145" s="1">
        <v>0.1</v>
      </c>
      <c r="L145" s="1">
        <v>747.61199999999997</v>
      </c>
      <c r="M145" s="15" t="str">
        <f t="shared" si="4"/>
        <v>Profit</v>
      </c>
      <c r="N145" s="7" t="s">
        <v>42</v>
      </c>
    </row>
    <row r="146" spans="1:14" ht="27" customHeight="1" x14ac:dyDescent="0.45">
      <c r="A146" s="5" t="s">
        <v>450</v>
      </c>
      <c r="B146" s="1" t="s">
        <v>451</v>
      </c>
      <c r="C146" s="1" t="s">
        <v>452</v>
      </c>
      <c r="D146" s="1" t="s">
        <v>453</v>
      </c>
      <c r="E146" s="1" t="s">
        <v>74</v>
      </c>
      <c r="F146" s="1" t="s">
        <v>103</v>
      </c>
      <c r="G146" s="1" t="s">
        <v>19</v>
      </c>
      <c r="H146" s="1" t="s">
        <v>84</v>
      </c>
      <c r="I146" s="1">
        <v>1583.7</v>
      </c>
      <c r="J146" s="1">
        <v>5</v>
      </c>
      <c r="K146" s="1">
        <v>0</v>
      </c>
      <c r="L146" s="1">
        <v>174.15</v>
      </c>
      <c r="M146" s="15" t="str">
        <f t="shared" si="4"/>
        <v>Neutral</v>
      </c>
      <c r="N146" s="7" t="s">
        <v>31</v>
      </c>
    </row>
    <row r="147" spans="1:14" ht="27" customHeight="1" x14ac:dyDescent="0.45">
      <c r="A147" s="5" t="s">
        <v>454</v>
      </c>
      <c r="B147" s="2">
        <v>42221</v>
      </c>
      <c r="C147" s="1" t="s">
        <v>455</v>
      </c>
      <c r="D147" s="1"/>
      <c r="E147" s="1" t="s">
        <v>46</v>
      </c>
      <c r="F147" s="1" t="s">
        <v>49</v>
      </c>
      <c r="G147" s="1" t="s">
        <v>19</v>
      </c>
      <c r="H147" s="1" t="s">
        <v>30</v>
      </c>
      <c r="I147" s="1">
        <v>79.989999999999995</v>
      </c>
      <c r="J147" s="1">
        <v>1</v>
      </c>
      <c r="K147" s="1" t="s">
        <v>294</v>
      </c>
      <c r="L147" s="1">
        <v>28.796399999999998</v>
      </c>
      <c r="M147" s="15" t="str">
        <f t="shared" si="4"/>
        <v>Neutral</v>
      </c>
      <c r="N147" s="7" t="s">
        <v>21</v>
      </c>
    </row>
    <row r="148" spans="1:14" ht="27" customHeight="1" x14ac:dyDescent="0.45">
      <c r="A148" s="5" t="s">
        <v>456</v>
      </c>
      <c r="B148" s="1" t="s">
        <v>457</v>
      </c>
      <c r="C148" s="1" t="s">
        <v>458</v>
      </c>
      <c r="D148" s="1" t="s">
        <v>459</v>
      </c>
      <c r="E148" s="1" t="s">
        <v>17</v>
      </c>
      <c r="F148" s="1" t="s">
        <v>18</v>
      </c>
      <c r="G148" s="1" t="s">
        <v>37</v>
      </c>
      <c r="H148" s="1" t="s">
        <v>38</v>
      </c>
      <c r="I148" s="1">
        <v>2760.3449999999998</v>
      </c>
      <c r="J148" s="1">
        <v>7</v>
      </c>
      <c r="K148" s="1">
        <v>0.1</v>
      </c>
      <c r="L148" s="1">
        <v>-214.72499999999999</v>
      </c>
      <c r="M148" s="15" t="str">
        <f t="shared" si="4"/>
        <v>Loss</v>
      </c>
      <c r="N148" s="7" t="s">
        <v>42</v>
      </c>
    </row>
    <row r="149" spans="1:14" ht="27" customHeight="1" x14ac:dyDescent="0.45">
      <c r="A149" s="5"/>
      <c r="B149" s="2">
        <v>41248</v>
      </c>
      <c r="C149" s="1" t="s">
        <v>460</v>
      </c>
      <c r="D149" s="1" t="s">
        <v>334</v>
      </c>
      <c r="E149" s="1" t="s">
        <v>234</v>
      </c>
      <c r="F149" s="1" t="s">
        <v>58</v>
      </c>
      <c r="G149" s="1" t="s">
        <v>19</v>
      </c>
      <c r="H149" s="1" t="s">
        <v>27</v>
      </c>
      <c r="I149" s="1">
        <v>3078.72</v>
      </c>
      <c r="J149" s="1">
        <v>12</v>
      </c>
      <c r="K149" s="1">
        <v>0</v>
      </c>
      <c r="L149" s="1">
        <v>523.08000000000004</v>
      </c>
      <c r="M149" s="15" t="str">
        <f t="shared" si="4"/>
        <v>Profit</v>
      </c>
      <c r="N149" s="7" t="s">
        <v>42</v>
      </c>
    </row>
    <row r="150" spans="1:14" ht="27" customHeight="1" x14ac:dyDescent="0.45">
      <c r="A150" s="10" t="s">
        <v>461</v>
      </c>
      <c r="B150" s="11">
        <v>40950</v>
      </c>
      <c r="C150" s="11">
        <v>41040</v>
      </c>
      <c r="D150" s="12" t="s">
        <v>462</v>
      </c>
      <c r="E150" s="12" t="s">
        <v>374</v>
      </c>
      <c r="F150" s="12" t="s">
        <v>124</v>
      </c>
      <c r="G150" s="12" t="s">
        <v>51</v>
      </c>
      <c r="H150" s="12" t="s">
        <v>188</v>
      </c>
      <c r="I150" s="12">
        <v>1983.135</v>
      </c>
      <c r="J150" s="12"/>
      <c r="K150" s="12">
        <v>0.5</v>
      </c>
      <c r="L150" s="12" t="s">
        <v>463</v>
      </c>
      <c r="M150" s="16" t="str">
        <f t="shared" si="4"/>
        <v>Profit</v>
      </c>
      <c r="N150" s="13" t="s">
        <v>42</v>
      </c>
    </row>
  </sheetData>
  <mergeCells count="2">
    <mergeCell ref="O3:P3"/>
    <mergeCell ref="O7:P7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SIVAPRAKASH</dc:creator>
  <cp:lastModifiedBy>siva prakasam</cp:lastModifiedBy>
  <dcterms:created xsi:type="dcterms:W3CDTF">2025-10-17T03:54:02Z</dcterms:created>
  <dcterms:modified xsi:type="dcterms:W3CDTF">2025-10-17T08:51:06Z</dcterms:modified>
</cp:coreProperties>
</file>